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\"/>
    </mc:Choice>
  </mc:AlternateContent>
  <xr:revisionPtr revIDLastSave="0" documentId="13_ncr:1_{58091EF1-B006-46E0-88C8-18EEFE5E88E6}" xr6:coauthVersionLast="47" xr6:coauthVersionMax="47" xr10:uidLastSave="{00000000-0000-0000-0000-000000000000}"/>
  <bookViews>
    <workbookView xWindow="19090" yWindow="-5250" windowWidth="38620" windowHeight="21100" xr2:uid="{22C02E86-4C11-4464-8F34-82BC543AB9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2" i="1" l="1"/>
  <c r="Q12" i="1" s="1"/>
  <c r="R13" i="1"/>
  <c r="Q13" i="1" s="1"/>
  <c r="R14" i="1"/>
  <c r="Q14" i="1" s="1"/>
  <c r="R15" i="1"/>
  <c r="Q15" i="1" s="1"/>
  <c r="R16" i="1"/>
  <c r="Q16" i="1" s="1"/>
  <c r="R17" i="1"/>
  <c r="Q17" i="1" s="1"/>
  <c r="R18" i="1"/>
  <c r="Q18" i="1" s="1"/>
  <c r="R19" i="1"/>
  <c r="Q19" i="1" s="1"/>
  <c r="R20" i="1"/>
  <c r="Q20" i="1" s="1"/>
  <c r="R21" i="1"/>
  <c r="Q21" i="1" s="1"/>
  <c r="R22" i="1"/>
  <c r="Q22" i="1" s="1"/>
  <c r="R23" i="1"/>
  <c r="Q23" i="1" s="1"/>
  <c r="R24" i="1"/>
  <c r="Q24" i="1" s="1"/>
  <c r="R25" i="1"/>
  <c r="Q25" i="1" s="1"/>
  <c r="R26" i="1"/>
  <c r="Q26" i="1" s="1"/>
  <c r="R27" i="1"/>
  <c r="Q27" i="1" s="1"/>
  <c r="R28" i="1"/>
  <c r="Q28" i="1" s="1"/>
  <c r="R29" i="1"/>
  <c r="Q29" i="1" s="1"/>
  <c r="R30" i="1"/>
  <c r="Q30" i="1" s="1"/>
  <c r="R31" i="1"/>
  <c r="Q31" i="1" s="1"/>
  <c r="R32" i="1"/>
  <c r="Q32" i="1" s="1"/>
  <c r="R33" i="1"/>
  <c r="Q33" i="1" s="1"/>
  <c r="R34" i="1"/>
  <c r="Q34" i="1" s="1"/>
  <c r="R35" i="1"/>
  <c r="Q35" i="1" s="1"/>
  <c r="R36" i="1"/>
  <c r="Q36" i="1" s="1"/>
  <c r="R37" i="1"/>
  <c r="Q37" i="1" s="1"/>
  <c r="R38" i="1"/>
  <c r="Q38" i="1" s="1"/>
  <c r="R39" i="1"/>
  <c r="Q39" i="1" s="1"/>
  <c r="R40" i="1"/>
  <c r="Q40" i="1" s="1"/>
  <c r="R41" i="1"/>
  <c r="Q41" i="1" s="1"/>
  <c r="R42" i="1"/>
  <c r="Q42" i="1" s="1"/>
  <c r="R43" i="1"/>
  <c r="Q43" i="1" s="1"/>
  <c r="R44" i="1"/>
  <c r="Q44" i="1" s="1"/>
  <c r="R45" i="1"/>
  <c r="Q45" i="1" s="1"/>
  <c r="R46" i="1"/>
  <c r="Q46" i="1" s="1"/>
  <c r="R47" i="1"/>
  <c r="Q47" i="1" s="1"/>
  <c r="R48" i="1"/>
  <c r="Q48" i="1" s="1"/>
  <c r="R49" i="1"/>
  <c r="Q49" i="1" s="1"/>
  <c r="R50" i="1"/>
  <c r="Q50" i="1" s="1"/>
  <c r="R51" i="1"/>
  <c r="Q51" i="1" s="1"/>
  <c r="R52" i="1"/>
  <c r="Q52" i="1" s="1"/>
  <c r="R53" i="1"/>
  <c r="Q53" i="1" s="1"/>
  <c r="R54" i="1"/>
  <c r="Q54" i="1" s="1"/>
  <c r="R55" i="1"/>
  <c r="Q55" i="1" s="1"/>
  <c r="R56" i="1"/>
  <c r="Q56" i="1" s="1"/>
  <c r="R57" i="1"/>
  <c r="Q57" i="1" s="1"/>
  <c r="R58" i="1"/>
  <c r="Q58" i="1" s="1"/>
  <c r="R59" i="1"/>
  <c r="Q59" i="1" s="1"/>
  <c r="R60" i="1"/>
  <c r="Q60" i="1" s="1"/>
  <c r="R61" i="1"/>
  <c r="Q61" i="1" s="1"/>
  <c r="R62" i="1"/>
  <c r="Q62" i="1" s="1"/>
  <c r="R63" i="1"/>
  <c r="Q63" i="1" s="1"/>
  <c r="R64" i="1"/>
  <c r="Q64" i="1" s="1"/>
  <c r="R65" i="1"/>
  <c r="Q65" i="1" s="1"/>
  <c r="R66" i="1"/>
  <c r="Q66" i="1" s="1"/>
  <c r="R67" i="1"/>
  <c r="Q67" i="1" s="1"/>
  <c r="R68" i="1"/>
  <c r="Q68" i="1" s="1"/>
  <c r="R69" i="1"/>
  <c r="Q69" i="1" s="1"/>
  <c r="R70" i="1"/>
  <c r="Q70" i="1" s="1"/>
  <c r="R71" i="1"/>
  <c r="Q71" i="1" s="1"/>
  <c r="R72" i="1"/>
  <c r="Q72" i="1" s="1"/>
  <c r="R73" i="1"/>
  <c r="Q73" i="1" s="1"/>
  <c r="R74" i="1"/>
  <c r="Q74" i="1" s="1"/>
  <c r="R75" i="1"/>
  <c r="Q75" i="1" s="1"/>
  <c r="R76" i="1"/>
  <c r="Q76" i="1" s="1"/>
  <c r="R77" i="1"/>
  <c r="Q77" i="1" s="1"/>
  <c r="R78" i="1"/>
  <c r="Q78" i="1" s="1"/>
  <c r="R79" i="1"/>
  <c r="Q79" i="1" s="1"/>
  <c r="R80" i="1"/>
  <c r="Q80" i="1" s="1"/>
  <c r="R81" i="1"/>
  <c r="Q81" i="1" s="1"/>
  <c r="R82" i="1"/>
  <c r="Q82" i="1" s="1"/>
  <c r="R83" i="1"/>
  <c r="Q83" i="1" s="1"/>
  <c r="R84" i="1"/>
  <c r="Q84" i="1" s="1"/>
  <c r="R85" i="1"/>
  <c r="Q85" i="1" s="1"/>
  <c r="R86" i="1"/>
  <c r="Q86" i="1" s="1"/>
  <c r="R87" i="1"/>
  <c r="Q87" i="1" s="1"/>
  <c r="R88" i="1"/>
  <c r="Q88" i="1" s="1"/>
  <c r="R89" i="1"/>
  <c r="Q89" i="1" s="1"/>
  <c r="R90" i="1"/>
  <c r="Q90" i="1" s="1"/>
  <c r="R91" i="1"/>
  <c r="Q91" i="1" s="1"/>
  <c r="R92" i="1"/>
  <c r="Q92" i="1" s="1"/>
  <c r="R93" i="1"/>
  <c r="Q93" i="1" s="1"/>
  <c r="R94" i="1"/>
  <c r="Q94" i="1" s="1"/>
  <c r="R95" i="1"/>
  <c r="Q95" i="1" s="1"/>
  <c r="R96" i="1"/>
  <c r="Q96" i="1" s="1"/>
  <c r="R97" i="1"/>
  <c r="Q97" i="1" s="1"/>
  <c r="R98" i="1"/>
  <c r="Q98" i="1" s="1"/>
  <c r="R99" i="1"/>
  <c r="Q99" i="1" s="1"/>
  <c r="R100" i="1"/>
  <c r="Q100" i="1" s="1"/>
  <c r="R101" i="1"/>
  <c r="Q101" i="1" s="1"/>
  <c r="R102" i="1"/>
  <c r="Q102" i="1" s="1"/>
  <c r="R103" i="1"/>
  <c r="Q103" i="1" s="1"/>
  <c r="R104" i="1"/>
  <c r="Q104" i="1" s="1"/>
  <c r="R105" i="1"/>
  <c r="Q105" i="1" s="1"/>
  <c r="R11" i="1"/>
  <c r="Q11" i="1" s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1" i="1"/>
  <c r="H13" i="1"/>
  <c r="H18" i="1"/>
  <c r="H21" i="1"/>
  <c r="H11" i="1"/>
  <c r="I12" i="1"/>
  <c r="I13" i="1"/>
  <c r="I14" i="1"/>
  <c r="H14" i="1" s="1"/>
  <c r="I15" i="1"/>
  <c r="H15" i="1" s="1"/>
  <c r="I16" i="1"/>
  <c r="H16" i="1" s="1"/>
  <c r="I17" i="1"/>
  <c r="H17" i="1" s="1"/>
  <c r="I18" i="1"/>
  <c r="I19" i="1"/>
  <c r="H19" i="1" s="1"/>
  <c r="I20" i="1"/>
  <c r="I21" i="1"/>
  <c r="I22" i="1"/>
  <c r="H22" i="1" s="1"/>
  <c r="I23" i="1"/>
  <c r="H23" i="1" s="1"/>
  <c r="I24" i="1"/>
  <c r="H24" i="1" s="1"/>
  <c r="I25" i="1"/>
  <c r="H25" i="1" s="1"/>
  <c r="I26" i="1"/>
  <c r="I27" i="1"/>
  <c r="H27" i="1" s="1"/>
  <c r="I28" i="1"/>
  <c r="I29" i="1"/>
  <c r="I30" i="1"/>
  <c r="H30" i="1" s="1"/>
  <c r="I31" i="1"/>
  <c r="H31" i="1" s="1"/>
  <c r="I32" i="1"/>
  <c r="H32" i="1" s="1"/>
  <c r="I33" i="1"/>
  <c r="H33" i="1" s="1"/>
  <c r="I34" i="1"/>
  <c r="I35" i="1"/>
  <c r="H35" i="1" s="1"/>
  <c r="I36" i="1"/>
  <c r="I37" i="1"/>
  <c r="I38" i="1"/>
  <c r="H38" i="1" s="1"/>
  <c r="I39" i="1"/>
  <c r="H39" i="1" s="1"/>
  <c r="I40" i="1"/>
  <c r="H40" i="1" s="1"/>
  <c r="I41" i="1"/>
  <c r="H41" i="1" s="1"/>
  <c r="I42" i="1"/>
  <c r="I43" i="1"/>
  <c r="H43" i="1" s="1"/>
  <c r="I44" i="1"/>
  <c r="I45" i="1"/>
  <c r="I46" i="1"/>
  <c r="H46" i="1" s="1"/>
  <c r="I47" i="1"/>
  <c r="H47" i="1" s="1"/>
  <c r="I48" i="1"/>
  <c r="H48" i="1" s="1"/>
  <c r="I49" i="1"/>
  <c r="H49" i="1" s="1"/>
  <c r="I50" i="1"/>
  <c r="I51" i="1"/>
  <c r="H51" i="1" s="1"/>
  <c r="I52" i="1"/>
  <c r="I53" i="1"/>
  <c r="I54" i="1"/>
  <c r="H54" i="1" s="1"/>
  <c r="I55" i="1"/>
  <c r="H55" i="1" s="1"/>
  <c r="I56" i="1"/>
  <c r="H56" i="1" s="1"/>
  <c r="I57" i="1"/>
  <c r="H57" i="1" s="1"/>
  <c r="I58" i="1"/>
  <c r="I59" i="1"/>
  <c r="H59" i="1" s="1"/>
  <c r="I60" i="1"/>
  <c r="I61" i="1"/>
  <c r="I62" i="1"/>
  <c r="H62" i="1" s="1"/>
  <c r="I63" i="1"/>
  <c r="H63" i="1" s="1"/>
  <c r="I64" i="1"/>
  <c r="H64" i="1" s="1"/>
  <c r="I65" i="1"/>
  <c r="H65" i="1" s="1"/>
  <c r="I66" i="1"/>
  <c r="I67" i="1"/>
  <c r="H67" i="1" s="1"/>
  <c r="I68" i="1"/>
  <c r="I69" i="1"/>
  <c r="I70" i="1"/>
  <c r="H70" i="1" s="1"/>
  <c r="I71" i="1"/>
  <c r="H71" i="1" s="1"/>
  <c r="I72" i="1"/>
  <c r="H72" i="1" s="1"/>
  <c r="I73" i="1"/>
  <c r="H73" i="1" s="1"/>
  <c r="I74" i="1"/>
  <c r="I75" i="1"/>
  <c r="H75" i="1" s="1"/>
  <c r="I76" i="1"/>
  <c r="I77" i="1"/>
  <c r="I78" i="1"/>
  <c r="H78" i="1" s="1"/>
  <c r="I79" i="1"/>
  <c r="H79" i="1" s="1"/>
  <c r="I80" i="1"/>
  <c r="H80" i="1" s="1"/>
  <c r="I81" i="1"/>
  <c r="H81" i="1" s="1"/>
  <c r="I82" i="1"/>
  <c r="I83" i="1"/>
  <c r="H83" i="1" s="1"/>
  <c r="I84" i="1"/>
  <c r="I85" i="1"/>
  <c r="I86" i="1"/>
  <c r="H86" i="1" s="1"/>
  <c r="I87" i="1"/>
  <c r="H87" i="1" s="1"/>
  <c r="I88" i="1"/>
  <c r="H88" i="1" s="1"/>
  <c r="I89" i="1"/>
  <c r="H89" i="1" s="1"/>
  <c r="I90" i="1"/>
  <c r="I91" i="1"/>
  <c r="H91" i="1" s="1"/>
  <c r="I92" i="1"/>
  <c r="I93" i="1"/>
  <c r="I94" i="1"/>
  <c r="H94" i="1" s="1"/>
  <c r="I95" i="1"/>
  <c r="H95" i="1" s="1"/>
  <c r="I96" i="1"/>
  <c r="H96" i="1" s="1"/>
  <c r="I97" i="1"/>
  <c r="H97" i="1" s="1"/>
  <c r="I98" i="1"/>
  <c r="I99" i="1"/>
  <c r="H99" i="1" s="1"/>
  <c r="I100" i="1"/>
  <c r="I101" i="1"/>
  <c r="I102" i="1"/>
  <c r="H102" i="1" s="1"/>
  <c r="I103" i="1"/>
  <c r="H103" i="1" s="1"/>
  <c r="I104" i="1"/>
  <c r="H104" i="1" s="1"/>
  <c r="I105" i="1"/>
  <c r="H105" i="1" s="1"/>
  <c r="I1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2" i="1"/>
  <c r="J26" i="1"/>
  <c r="H26" i="1" s="1"/>
  <c r="J27" i="1"/>
  <c r="J28" i="1"/>
  <c r="H28" i="1" s="1"/>
  <c r="J29" i="1"/>
  <c r="H29" i="1" s="1"/>
  <c r="J30" i="1"/>
  <c r="J31" i="1"/>
  <c r="J32" i="1"/>
  <c r="J33" i="1"/>
  <c r="J34" i="1"/>
  <c r="H34" i="1" s="1"/>
  <c r="J35" i="1"/>
  <c r="J36" i="1"/>
  <c r="H36" i="1" s="1"/>
  <c r="J37" i="1"/>
  <c r="H37" i="1" s="1"/>
  <c r="J38" i="1"/>
  <c r="J39" i="1"/>
  <c r="J40" i="1"/>
  <c r="J41" i="1"/>
  <c r="J42" i="1"/>
  <c r="H42" i="1" s="1"/>
  <c r="J43" i="1"/>
  <c r="J44" i="1"/>
  <c r="H44" i="1" s="1"/>
  <c r="J45" i="1"/>
  <c r="H45" i="1" s="1"/>
  <c r="J46" i="1"/>
  <c r="J47" i="1"/>
  <c r="J48" i="1"/>
  <c r="J49" i="1"/>
  <c r="J50" i="1"/>
  <c r="H50" i="1" s="1"/>
  <c r="J51" i="1"/>
  <c r="J52" i="1"/>
  <c r="H52" i="1" s="1"/>
  <c r="J53" i="1"/>
  <c r="H53" i="1" s="1"/>
  <c r="J54" i="1"/>
  <c r="J55" i="1"/>
  <c r="J56" i="1"/>
  <c r="J57" i="1"/>
  <c r="J58" i="1"/>
  <c r="H58" i="1" s="1"/>
  <c r="J59" i="1"/>
  <c r="J60" i="1"/>
  <c r="H60" i="1" s="1"/>
  <c r="J61" i="1"/>
  <c r="H61" i="1" s="1"/>
  <c r="J62" i="1"/>
  <c r="J63" i="1"/>
  <c r="J64" i="1"/>
  <c r="J65" i="1"/>
  <c r="J66" i="1"/>
  <c r="H66" i="1" s="1"/>
  <c r="J67" i="1"/>
  <c r="J68" i="1"/>
  <c r="H68" i="1" s="1"/>
  <c r="J69" i="1"/>
  <c r="H69" i="1" s="1"/>
  <c r="J70" i="1"/>
  <c r="J71" i="1"/>
  <c r="J72" i="1"/>
  <c r="J73" i="1"/>
  <c r="J74" i="1"/>
  <c r="H74" i="1" s="1"/>
  <c r="J75" i="1"/>
  <c r="J76" i="1"/>
  <c r="H76" i="1" s="1"/>
  <c r="J77" i="1"/>
  <c r="H77" i="1" s="1"/>
  <c r="J78" i="1"/>
  <c r="J79" i="1"/>
  <c r="J80" i="1"/>
  <c r="J81" i="1"/>
  <c r="J82" i="1"/>
  <c r="H82" i="1" s="1"/>
  <c r="J83" i="1"/>
  <c r="J84" i="1"/>
  <c r="H84" i="1" s="1"/>
  <c r="J85" i="1"/>
  <c r="H85" i="1" s="1"/>
  <c r="J86" i="1"/>
  <c r="J87" i="1"/>
  <c r="J88" i="1"/>
  <c r="J89" i="1"/>
  <c r="J90" i="1"/>
  <c r="H90" i="1" s="1"/>
  <c r="J91" i="1"/>
  <c r="J92" i="1"/>
  <c r="H92" i="1" s="1"/>
  <c r="J93" i="1"/>
  <c r="H93" i="1" s="1"/>
  <c r="J94" i="1"/>
  <c r="J95" i="1"/>
  <c r="J96" i="1"/>
  <c r="J97" i="1"/>
  <c r="J98" i="1"/>
  <c r="H98" i="1" s="1"/>
  <c r="J99" i="1"/>
  <c r="J100" i="1"/>
  <c r="H100" i="1" s="1"/>
  <c r="J101" i="1"/>
  <c r="H101" i="1" s="1"/>
  <c r="J102" i="1"/>
  <c r="J103" i="1"/>
  <c r="J104" i="1"/>
  <c r="J105" i="1"/>
  <c r="J12" i="1"/>
  <c r="H12" i="1" s="1"/>
  <c r="J13" i="1"/>
  <c r="J14" i="1"/>
  <c r="J15" i="1"/>
  <c r="J16" i="1"/>
  <c r="J17" i="1"/>
  <c r="J18" i="1"/>
  <c r="J19" i="1"/>
  <c r="J20" i="1"/>
  <c r="H20" i="1" s="1"/>
  <c r="J21" i="1"/>
  <c r="J22" i="1"/>
  <c r="J23" i="1"/>
  <c r="J24" i="1"/>
  <c r="J25" i="1"/>
  <c r="J11" i="1"/>
</calcChain>
</file>

<file path=xl/sharedStrings.xml><?xml version="1.0" encoding="utf-8"?>
<sst xmlns="http://schemas.openxmlformats.org/spreadsheetml/2006/main" count="129" uniqueCount="127">
  <si>
    <t>Week</t>
    <phoneticPr fontId="1" type="noConversion"/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</si>
  <si>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</si>
  <si>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</si>
  <si>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</si>
  <si>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</si>
  <si>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</si>
  <si>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</si>
  <si>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</si>
  <si>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</si>
  <si>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</si>
  <si>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</si>
  <si>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</si>
  <si>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</si>
  <si>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</si>
  <si>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</si>
  <si>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</si>
  <si>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</si>
  <si>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</si>
  <si>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</si>
  <si>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</si>
  <si>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</si>
  <si>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</si>
  <si>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</si>
  <si>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</si>
  <si>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</si>
  <si>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</si>
  <si>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</si>
  <si>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</si>
  <si>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</si>
  <si>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</si>
  <si>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</si>
  <si>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</si>
  <si>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</si>
  <si>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</si>
  <si>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</si>
  <si>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</si>
  <si>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</si>
  <si>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</si>
  <si>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</si>
  <si>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</si>
  <si>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</si>
  <si>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</si>
  <si>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</si>
  <si>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</si>
  <si>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</si>
  <si>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</si>
  <si>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</si>
  <si>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</si>
  <si>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</si>
  <si>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</si>
  <si>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</si>
  <si>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</si>
  <si>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</si>
  <si>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</si>
  <si>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</si>
  <si>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</si>
  <si>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</si>
  <si>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</si>
  <si>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</si>
  <si>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</si>
  <si>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</si>
  <si>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</si>
  <si>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</si>
  <si>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</si>
  <si>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</si>
  <si>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</si>
  <si>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</si>
  <si>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</si>
  <si>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</si>
  <si>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</si>
  <si>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</si>
  <si>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</si>
  <si>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</si>
  <si>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</si>
  <si>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</si>
  <si>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</si>
  <si>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</si>
  <si>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</si>
  <si>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</si>
  <si>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</si>
  <si>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</si>
  <si>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</si>
  <si>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</si>
  <si>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</si>
  <si>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</si>
  <si>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</si>
  <si>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</si>
  <si>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</si>
  <si>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</si>
  <si>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</si>
  <si>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</si>
  <si>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</si>
  <si>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</si>
  <si>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</si>
  <si>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</si>
  <si>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</si>
  <si>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</si>
  <si>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</si>
  <si>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</si>
  <si>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</si>
  <si>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</si>
  <si>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</si>
  <si>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</si>
  <si>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</si>
  <si>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</si>
  <si>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기침</t>
  </si>
  <si>
    <t>발열</t>
  </si>
  <si>
    <t>호흡곤란</t>
  </si>
  <si>
    <t>인플루엔자</t>
  </si>
  <si>
    <t>독감</t>
  </si>
  <si>
    <t>플루</t>
  </si>
  <si>
    <t>노로바이러스</t>
  </si>
  <si>
    <t>장염</t>
  </si>
  <si>
    <t>식중독</t>
  </si>
  <si>
    <t>고열</t>
  </si>
  <si>
    <t>근육통</t>
  </si>
  <si>
    <t>오한</t>
  </si>
  <si>
    <t>구토</t>
  </si>
  <si>
    <t>물설사</t>
  </si>
  <si>
    <t>복통</t>
  </si>
  <si>
    <t>코로나+제반증상</t>
    <phoneticPr fontId="1" type="noConversion"/>
  </si>
  <si>
    <t>제반증상</t>
    <phoneticPr fontId="1" type="noConversion"/>
  </si>
  <si>
    <t>코로나</t>
    <phoneticPr fontId="1" type="noConversion"/>
  </si>
  <si>
    <t>인플루엔자군+제반증상</t>
    <phoneticPr fontId="3" type="noConversion"/>
  </si>
  <si>
    <t>인플루엔자군</t>
    <phoneticPr fontId="1" type="noConversion"/>
  </si>
  <si>
    <t>노로바이러스군+제반증상</t>
    <phoneticPr fontId="1" type="noConversion"/>
  </si>
  <si>
    <t>노로바이러스군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</si>
</sst>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5">
    <xf numFmtId="0" fontId="0" fillId="0" borderId="0" xfId="0">
      <alignment vertical="center"/>
    </xf>
    <xf numFmtId="0" fontId="2" fillId="0" borderId="0" xfId="1"/>
    <xf numFmtId="0" fontId="4" fillId="0" borderId="0" xfId="0" applyFont="1" applyAlignment="1">
      <alignment horizontal="left" vertical="top"/>
    </xf>
    <xf numFmtId="1" fontId="0" fillId="0" borderId="0" xfId="0" applyNumberFormat="1">
      <alignment vertical="center"/>
    </xf>
    <xf numFmtId="1" fontId="0" fillId="0" borderId="0" xfId="0" applyNumberFormat="1" applyAlignment="1"/>
  </cellXfs>
  <cellStyles count="2">
    <cellStyle name="표준" xfId="0" builtinId="0"/>
    <cellStyle name="표준 4" xfId="1" xr:uid="{6963DB22-EB57-4179-BD75-F9C1AB65DC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C7699-9CBF-467D-AF60-FD8B6884FDC4}">
  <dimension ref="A1:Y105"/>
  <sheetViews>
    <sheetView tabSelected="1" workbookViewId="0">
      <selection activeCell="A2" sqref="A2"/>
    </sheetView>
  </sheetViews>
  <sheetFormatPr defaultRowHeight="17.399999999999999" x14ac:dyDescent="0.4"/>
  <sheetData>
    <row r="1" spans="1:25" x14ac:dyDescent="0.4">
      <c r="A1" t="s">
        <v>0</v>
      </c>
      <c r="B1" s="2" t="s">
        <v>120</v>
      </c>
      <c r="C1" t="s">
        <v>121</v>
      </c>
      <c r="D1" t="s">
        <v>122</v>
      </c>
      <c r="E1" s="2" t="s">
        <v>105</v>
      </c>
      <c r="F1" s="2" t="s">
        <v>106</v>
      </c>
      <c r="G1" s="2" t="s">
        <v>107</v>
      </c>
      <c r="H1" s="2" t="s">
        <v>123</v>
      </c>
      <c r="I1" s="2" t="s">
        <v>124</v>
      </c>
      <c r="J1" s="2" t="s">
        <v>121</v>
      </c>
      <c r="K1" s="2" t="s">
        <v>108</v>
      </c>
      <c r="L1" s="2" t="s">
        <v>109</v>
      </c>
      <c r="M1" s="2" t="s">
        <v>110</v>
      </c>
      <c r="N1" t="s">
        <v>114</v>
      </c>
      <c r="O1" t="s">
        <v>115</v>
      </c>
      <c r="P1" t="s">
        <v>116</v>
      </c>
      <c r="Q1" t="s">
        <v>125</v>
      </c>
      <c r="R1" t="s">
        <v>126</v>
      </c>
      <c r="S1" t="s">
        <v>121</v>
      </c>
      <c r="T1" s="2" t="s">
        <v>111</v>
      </c>
      <c r="U1" s="2" t="s">
        <v>112</v>
      </c>
      <c r="V1" s="2" t="s">
        <v>113</v>
      </c>
      <c r="W1" t="s">
        <v>117</v>
      </c>
      <c r="X1" t="s">
        <v>118</v>
      </c>
      <c r="Y1" t="s">
        <v>119</v>
      </c>
    </row>
    <row r="2" spans="1:25" x14ac:dyDescent="0.4">
      <c r="A2" s="1" t="s">
        <v>1</v>
      </c>
      <c r="B2" s="3">
        <f>$D2+$E2+$F2+$G2</f>
        <v>44761.448249473135</v>
      </c>
      <c r="C2" s="3">
        <f>$E2+$F2+$G2</f>
        <v>890.55877362524723</v>
      </c>
      <c r="D2" s="4">
        <v>43870.889475847885</v>
      </c>
      <c r="E2" s="4">
        <v>709.87348681331309</v>
      </c>
      <c r="F2" s="4">
        <v>87.48815411294116</v>
      </c>
      <c r="G2" s="4">
        <v>93.197132698992917</v>
      </c>
    </row>
    <row r="3" spans="1:25" x14ac:dyDescent="0.4">
      <c r="A3" s="1" t="s">
        <v>2</v>
      </c>
      <c r="B3" s="3">
        <f>$D3+$E3+$F3+$G3</f>
        <v>48095.582257265371</v>
      </c>
      <c r="C3" s="3">
        <f>$E3+$F3+$G3</f>
        <v>956.89358648771167</v>
      </c>
      <c r="D3" s="4">
        <v>47138.688670777658</v>
      </c>
      <c r="E3" s="4">
        <v>762.74964310796963</v>
      </c>
      <c r="F3" s="4">
        <v>94.004860817361944</v>
      </c>
      <c r="G3" s="4">
        <v>100.13908256238</v>
      </c>
    </row>
    <row r="4" spans="1:25" x14ac:dyDescent="0.4">
      <c r="A4" s="1" t="s">
        <v>3</v>
      </c>
      <c r="B4" s="3">
        <f>$D4+$E4+$F4+$G4</f>
        <v>78088.617978184426</v>
      </c>
      <c r="C4" s="3">
        <f>$E4+$F4+$G4</f>
        <v>1553.6249737308465</v>
      </c>
      <c r="D4" s="4">
        <v>76534.993004453572</v>
      </c>
      <c r="E4" s="4">
        <v>1238.4103216602027</v>
      </c>
      <c r="F4" s="4">
        <v>152.6275246070127</v>
      </c>
      <c r="G4" s="4">
        <v>162.58712746363113</v>
      </c>
    </row>
    <row r="5" spans="1:25" x14ac:dyDescent="0.4">
      <c r="A5" s="1" t="s">
        <v>4</v>
      </c>
      <c r="B5" s="3">
        <f>$D5+$E5+$F5+$G5</f>
        <v>202113.62989779498</v>
      </c>
      <c r="C5" s="3">
        <f>$E5+$F5+$G5</f>
        <v>4021.1850468186317</v>
      </c>
      <c r="D5" s="4">
        <v>198092.44485097635</v>
      </c>
      <c r="E5" s="4">
        <v>3205.3276379352178</v>
      </c>
      <c r="F5" s="4">
        <v>395.03968464720913</v>
      </c>
      <c r="G5" s="4">
        <v>420.81772423620487</v>
      </c>
    </row>
    <row r="6" spans="1:25" x14ac:dyDescent="0.4">
      <c r="A6" s="1" t="s">
        <v>5</v>
      </c>
      <c r="B6" s="3">
        <f>$D6+$E6+$F6+$G6</f>
        <v>442182.61473820469</v>
      </c>
      <c r="C6" s="3">
        <f>$E6+$F6+$G6</f>
        <v>8797.5171157312998</v>
      </c>
      <c r="D6" s="4">
        <v>433385.09762247337</v>
      </c>
      <c r="E6" s="4">
        <v>7012.590673630225</v>
      </c>
      <c r="F6" s="4">
        <v>864.26472460561399</v>
      </c>
      <c r="G6" s="4">
        <v>920.66171749546083</v>
      </c>
    </row>
    <row r="7" spans="1:25" x14ac:dyDescent="0.4">
      <c r="A7" s="1" t="s">
        <v>6</v>
      </c>
      <c r="B7" s="3">
        <f>$D7+$E7+$F7+$G7</f>
        <v>745807.85321378696</v>
      </c>
      <c r="C7" s="3">
        <f>$E7+$F7+$G7</f>
        <v>14838.343107586254</v>
      </c>
      <c r="D7" s="4">
        <v>730969.5101062007</v>
      </c>
      <c r="E7" s="4">
        <v>11827.794719753158</v>
      </c>
      <c r="F7" s="4">
        <v>1457.713165064484</v>
      </c>
      <c r="G7" s="4">
        <v>1552.8352227686123</v>
      </c>
    </row>
    <row r="8" spans="1:25" x14ac:dyDescent="0.4">
      <c r="A8" s="1" t="s">
        <v>7</v>
      </c>
      <c r="B8" s="3">
        <f>$D8+$E8+$F8+$G8</f>
        <v>611192.4443593258</v>
      </c>
      <c r="C8" s="3">
        <f>$E8+$F8+$G8</f>
        <v>12160.080046205054</v>
      </c>
      <c r="D8" s="4">
        <v>599032.36431312084</v>
      </c>
      <c r="E8" s="4">
        <v>9692.9239012371199</v>
      </c>
      <c r="F8" s="4">
        <v>1194.6016238516884</v>
      </c>
      <c r="G8" s="4">
        <v>1272.5545211162466</v>
      </c>
    </row>
    <row r="9" spans="1:25" x14ac:dyDescent="0.4">
      <c r="A9" s="1" t="s">
        <v>8</v>
      </c>
      <c r="B9" s="3">
        <f>$D9+$E9+$F9+$G9</f>
        <v>504915.79482657049</v>
      </c>
      <c r="C9" s="3">
        <f>$E9+$F9+$G9</f>
        <v>10045.635443220053</v>
      </c>
      <c r="D9" s="4">
        <v>494870.1593833504</v>
      </c>
      <c r="E9" s="4">
        <v>8007.4785298054303</v>
      </c>
      <c r="F9" s="4">
        <v>986.879392857114</v>
      </c>
      <c r="G9" s="4">
        <v>1051.277520557509</v>
      </c>
    </row>
    <row r="10" spans="1:25" x14ac:dyDescent="0.4">
      <c r="A10" s="1" t="s">
        <v>9</v>
      </c>
      <c r="B10" s="3">
        <f>$D10+$E10+$F10+$G10</f>
        <v>235004.65119394683</v>
      </c>
      <c r="C10" s="3">
        <f>$E10+$F10+$G10</f>
        <v>4675.5737838749146</v>
      </c>
      <c r="D10" s="4">
        <v>230329.07741007191</v>
      </c>
      <c r="E10" s="4">
        <v>3726.9475784299957</v>
      </c>
      <c r="F10" s="4">
        <v>459.32658448235094</v>
      </c>
      <c r="G10" s="4">
        <v>489.29962096256799</v>
      </c>
    </row>
    <row r="11" spans="1:25" x14ac:dyDescent="0.4">
      <c r="A11" s="1" t="s">
        <v>10</v>
      </c>
      <c r="B11" s="3">
        <f>$D11+$E11+$F11+$G11</f>
        <v>124143.0733027743</v>
      </c>
      <c r="C11" s="3">
        <f>$E11+$F11+$G11</f>
        <v>2469.9089828017159</v>
      </c>
      <c r="D11" s="4">
        <v>121673.16431997258</v>
      </c>
      <c r="E11" s="4">
        <v>1968.789656179152</v>
      </c>
      <c r="F11" s="4">
        <v>242.64291603422618</v>
      </c>
      <c r="G11" s="4">
        <v>258.47641058833801</v>
      </c>
      <c r="H11" s="3">
        <f>$I11+$J11</f>
        <v>53715.997293122135</v>
      </c>
      <c r="I11" s="3">
        <f>$K11+$L11+$M11</f>
        <v>45726.218247897043</v>
      </c>
      <c r="J11" s="3">
        <f>$N11+$O11+$P11</f>
        <v>7989.7790452250892</v>
      </c>
      <c r="K11" s="4">
        <v>3079.8886731667403</v>
      </c>
      <c r="L11" s="4">
        <v>41565.92130004301</v>
      </c>
      <c r="M11" s="4">
        <v>1080.4082746872925</v>
      </c>
      <c r="N11" s="3">
        <v>1149.5551454879003</v>
      </c>
      <c r="O11" s="3">
        <v>3650.7379520104787</v>
      </c>
      <c r="P11" s="3">
        <v>3189.48594772671</v>
      </c>
      <c r="Q11" s="3">
        <f>$R11+$S11</f>
        <v>37419.472874538114</v>
      </c>
      <c r="R11" s="3">
        <f>$T11+$U11+$V11</f>
        <v>28707.418360941905</v>
      </c>
      <c r="S11" s="3">
        <f>$W11+$X11+$Y11</f>
        <v>8712.0545135962075</v>
      </c>
      <c r="T11" s="4">
        <v>23204.304040067935</v>
      </c>
      <c r="U11" s="4">
        <v>3349.6532665439399</v>
      </c>
      <c r="V11" s="4">
        <v>2153.4610543300287</v>
      </c>
      <c r="W11" s="3">
        <v>1194.3747863631179</v>
      </c>
      <c r="X11" s="3">
        <v>2132.2387190184081</v>
      </c>
      <c r="Y11" s="3">
        <v>5385.4410082146815</v>
      </c>
    </row>
    <row r="12" spans="1:25" x14ac:dyDescent="0.4">
      <c r="A12" s="1" t="s">
        <v>11</v>
      </c>
      <c r="B12" s="3">
        <f>$D12+$E12+$F12+$G12</f>
        <v>77555.514524707221</v>
      </c>
      <c r="C12" s="3">
        <f>$E12+$F12+$G12</f>
        <v>1543.0185260775443</v>
      </c>
      <c r="D12" s="4">
        <v>76012.495998629674</v>
      </c>
      <c r="E12" s="4">
        <v>1229.9558139945234</v>
      </c>
      <c r="F12" s="4">
        <v>151.58555123662461</v>
      </c>
      <c r="G12" s="4">
        <v>161.47716084639615</v>
      </c>
      <c r="H12" s="3">
        <f>$I12+$J12</f>
        <v>35683.020390118203</v>
      </c>
      <c r="I12" s="3">
        <f>$K12+$L12+$M12</f>
        <v>28566.397537424742</v>
      </c>
      <c r="J12" s="3">
        <f>$N12+$O12+$P12</f>
        <v>7116.6228526934592</v>
      </c>
      <c r="K12" s="4">
        <v>1924.0892332647475</v>
      </c>
      <c r="L12" s="4">
        <v>25967.348216489507</v>
      </c>
      <c r="M12" s="4">
        <v>674.96008767048659</v>
      </c>
      <c r="N12" s="3">
        <v>1025.6454858785009</v>
      </c>
      <c r="O12" s="3">
        <v>3238.3651929922967</v>
      </c>
      <c r="P12" s="3">
        <v>2852.6121738226611</v>
      </c>
      <c r="Q12" s="3">
        <f>$R12+$S12</f>
        <v>26430.588678373242</v>
      </c>
      <c r="R12" s="3">
        <f>$T12+$U12+$V12</f>
        <v>17934.295828401417</v>
      </c>
      <c r="S12" s="3">
        <f>$W12+$X12+$Y12</f>
        <v>8496.2928499718255</v>
      </c>
      <c r="T12" s="4">
        <v>14496.352403215344</v>
      </c>
      <c r="U12" s="4">
        <v>2092.6184252953881</v>
      </c>
      <c r="V12" s="4">
        <v>1345.3249998906826</v>
      </c>
      <c r="W12" s="3">
        <v>1254.8727887176692</v>
      </c>
      <c r="X12" s="3">
        <v>2017.7378562467031</v>
      </c>
      <c r="Y12" s="3">
        <v>5223.6822050074525</v>
      </c>
    </row>
    <row r="13" spans="1:25" x14ac:dyDescent="0.4">
      <c r="A13" s="1" t="s">
        <v>12</v>
      </c>
      <c r="B13" s="3">
        <f>$D13+$E13+$F13+$G13</f>
        <v>56737.183271668189</v>
      </c>
      <c r="C13" s="3">
        <f>$E13+$F13+$G13</f>
        <v>1128.8239842410026</v>
      </c>
      <c r="D13" s="4">
        <v>55608.359287427193</v>
      </c>
      <c r="E13" s="4">
        <v>899.79711774627742</v>
      </c>
      <c r="F13" s="4">
        <v>110.89523748964761</v>
      </c>
      <c r="G13" s="4">
        <v>118.13162900507763</v>
      </c>
      <c r="H13" s="3">
        <f>$I13+$J13</f>
        <v>27341.93546392562</v>
      </c>
      <c r="I13" s="3">
        <f>$K13+$L13+$M13</f>
        <v>20898.280959452091</v>
      </c>
      <c r="J13" s="3">
        <f>$N13+$O13+$P13</f>
        <v>6443.6545044735285</v>
      </c>
      <c r="K13" s="4">
        <v>1407.6033680881269</v>
      </c>
      <c r="L13" s="4">
        <v>18996.897949388644</v>
      </c>
      <c r="M13" s="4">
        <v>493.77964197531963</v>
      </c>
      <c r="N13" s="3">
        <v>927.06059446031247</v>
      </c>
      <c r="O13" s="3">
        <v>2738.7421664237163</v>
      </c>
      <c r="P13" s="3">
        <v>2777.8517435894996</v>
      </c>
      <c r="Q13" s="3">
        <f>$R13+$S13</f>
        <v>21199.461387813557</v>
      </c>
      <c r="R13" s="3">
        <f>$T13+$U13+$V13</f>
        <v>13120.168636624321</v>
      </c>
      <c r="S13" s="3">
        <f>$W13+$X13+$Y13</f>
        <v>8079.2927511892349</v>
      </c>
      <c r="T13" s="4">
        <v>10605.076996941267</v>
      </c>
      <c r="U13" s="4">
        <v>1530.8940420455856</v>
      </c>
      <c r="V13" s="4">
        <v>984.19759763746879</v>
      </c>
      <c r="W13" s="3">
        <v>1173.2921670033327</v>
      </c>
      <c r="X13" s="3">
        <v>2131.3371565821503</v>
      </c>
      <c r="Y13" s="3">
        <v>4774.6634276037521</v>
      </c>
    </row>
    <row r="14" spans="1:25" x14ac:dyDescent="0.4">
      <c r="A14" s="1" t="s">
        <v>13</v>
      </c>
      <c r="B14" s="3">
        <f>$D14+$E14+$F14+$G14</f>
        <v>43332.927887427446</v>
      </c>
      <c r="C14" s="3">
        <f>$E14+$F14+$G14</f>
        <v>862.13741123697662</v>
      </c>
      <c r="D14" s="4">
        <v>42470.790476190472</v>
      </c>
      <c r="E14" s="4">
        <v>687.21852880709798</v>
      </c>
      <c r="F14" s="4">
        <v>84.69605031657666</v>
      </c>
      <c r="G14" s="4">
        <v>90.222832113301919</v>
      </c>
      <c r="H14" s="3">
        <f>$I14+$J14</f>
        <v>23233.579418953082</v>
      </c>
      <c r="I14" s="3">
        <f>$K14+$L14+$M14</f>
        <v>15961.026782930554</v>
      </c>
      <c r="J14" s="3">
        <f>$N14+$O14+$P14</f>
        <v>7272.5526360225294</v>
      </c>
      <c r="K14" s="4">
        <v>1075.0546947564287</v>
      </c>
      <c r="L14" s="4">
        <v>14508.848720672009</v>
      </c>
      <c r="M14" s="4">
        <v>377.12336750211665</v>
      </c>
      <c r="N14" s="3">
        <v>965.95188190051533</v>
      </c>
      <c r="O14" s="3">
        <v>3116.2144368162994</v>
      </c>
      <c r="P14" s="3">
        <v>3190.3863173057148</v>
      </c>
      <c r="Q14" s="3">
        <f>$R14+$S14</f>
        <v>18230.977927878754</v>
      </c>
      <c r="R14" s="3">
        <f>$T14+$U14+$V14</f>
        <v>10020.506634590512</v>
      </c>
      <c r="S14" s="3">
        <f>$W14+$X14+$Y14</f>
        <v>8210.4712932882394</v>
      </c>
      <c r="T14" s="4">
        <v>8099.6096430918187</v>
      </c>
      <c r="U14" s="4">
        <v>1169.2177387378292</v>
      </c>
      <c r="V14" s="4">
        <v>751.67925276086453</v>
      </c>
      <c r="W14" s="3">
        <v>1245.7064069001785</v>
      </c>
      <c r="X14" s="3">
        <v>1886.1070638494004</v>
      </c>
      <c r="Y14" s="3">
        <v>5078.6578225386602</v>
      </c>
    </row>
    <row r="15" spans="1:25" x14ac:dyDescent="0.4">
      <c r="A15" s="1" t="s">
        <v>14</v>
      </c>
      <c r="B15" s="3">
        <f>$D15+$E15+$F15+$G15</f>
        <v>32733.208354411821</v>
      </c>
      <c r="C15" s="3">
        <f>$E15+$F15+$G15</f>
        <v>651.24894365471755</v>
      </c>
      <c r="D15" s="4">
        <v>32081.959410757107</v>
      </c>
      <c r="E15" s="4">
        <v>519.11717913207815</v>
      </c>
      <c r="F15" s="4">
        <v>63.978447729414178</v>
      </c>
      <c r="G15" s="4">
        <v>68.153316793225287</v>
      </c>
      <c r="H15" s="3">
        <f>$I15+$J15</f>
        <v>18806.008796813621</v>
      </c>
      <c r="I15" s="3">
        <f>$K15+$L15+$M15</f>
        <v>12056.780852502648</v>
      </c>
      <c r="J15" s="3">
        <f>$N15+$O15+$P15</f>
        <v>6749.2279443109746</v>
      </c>
      <c r="K15" s="4">
        <v>812.08427474065866</v>
      </c>
      <c r="L15" s="4">
        <v>10959.821810106472</v>
      </c>
      <c r="M15" s="4">
        <v>284.87476765551787</v>
      </c>
      <c r="N15" s="3">
        <v>844.75577685430176</v>
      </c>
      <c r="O15" s="3">
        <v>2721.2921129136366</v>
      </c>
      <c r="P15" s="3">
        <v>3183.1800545430356</v>
      </c>
      <c r="Q15" s="3">
        <f>$R15+$S15</f>
        <v>14846.453850717509</v>
      </c>
      <c r="R15" s="3">
        <f>$T15+$U15+$V15</f>
        <v>7569.3784721614356</v>
      </c>
      <c r="S15" s="3">
        <f>$W15+$X15+$Y15</f>
        <v>7277.0753785560728</v>
      </c>
      <c r="T15" s="4">
        <v>6118.3544007339278</v>
      </c>
      <c r="U15" s="4">
        <v>883.21398344476665</v>
      </c>
      <c r="V15" s="4">
        <v>567.81008798274138</v>
      </c>
      <c r="W15" s="3">
        <v>1251.2061183497863</v>
      </c>
      <c r="X15" s="3">
        <v>1690.4641217943074</v>
      </c>
      <c r="Y15" s="3">
        <v>4335.4051384119794</v>
      </c>
    </row>
    <row r="16" spans="1:25" x14ac:dyDescent="0.4">
      <c r="A16" s="1" t="s">
        <v>15</v>
      </c>
      <c r="B16" s="3">
        <f>$D16+$E16+$F16+$G16</f>
        <v>32784.594515498255</v>
      </c>
      <c r="C16" s="3">
        <f>$E16+$F16+$G16</f>
        <v>652.27130549483036</v>
      </c>
      <c r="D16" s="4">
        <v>32132.323210003426</v>
      </c>
      <c r="E16" s="4">
        <v>519.93211418826922</v>
      </c>
      <c r="F16" s="4">
        <v>64.078884166487128</v>
      </c>
      <c r="G16" s="4">
        <v>68.260307140074048</v>
      </c>
      <c r="H16" s="3">
        <f>$I16+$J16</f>
        <v>18945.802215339994</v>
      </c>
      <c r="I16" s="3">
        <f>$K16+$L16+$M16</f>
        <v>12075.708165595897</v>
      </c>
      <c r="J16" s="3">
        <f>$N16+$O16+$P16</f>
        <v>6870.0940497440988</v>
      </c>
      <c r="K16" s="4">
        <v>813.35912360074474</v>
      </c>
      <c r="L16" s="4">
        <v>10977.027064260448</v>
      </c>
      <c r="M16" s="4">
        <v>285.32197773470443</v>
      </c>
      <c r="N16" s="3">
        <v>837.52018849333388</v>
      </c>
      <c r="O16" s="3">
        <v>2825.0739096826792</v>
      </c>
      <c r="P16" s="3">
        <v>3207.4999515680861</v>
      </c>
      <c r="Q16" s="3">
        <f>$R16+$S16</f>
        <v>14895.519830661104</v>
      </c>
      <c r="R16" s="3">
        <f>$T16+$U16+$V16</f>
        <v>7581.2612456825418</v>
      </c>
      <c r="S16" s="3">
        <f>$W16+$X16+$Y16</f>
        <v>7314.2585849785619</v>
      </c>
      <c r="T16" s="4">
        <v>6127.9592870443657</v>
      </c>
      <c r="U16" s="4">
        <v>884.60049513453703</v>
      </c>
      <c r="V16" s="4">
        <v>568.7014635036395</v>
      </c>
      <c r="W16" s="3">
        <v>1265.8722116168847</v>
      </c>
      <c r="X16" s="3">
        <v>1639.0740895808237</v>
      </c>
      <c r="Y16" s="3">
        <v>4409.3122837808532</v>
      </c>
    </row>
    <row r="17" spans="1:25" x14ac:dyDescent="0.4">
      <c r="A17" s="1" t="s">
        <v>16</v>
      </c>
      <c r="B17" s="3">
        <f>$D17+$E17+$F17+$G17</f>
        <v>34442.301630836533</v>
      </c>
      <c r="C17" s="3">
        <f>$E17+$F17+$G17</f>
        <v>685.25249072006238</v>
      </c>
      <c r="D17" s="4">
        <v>33757.049140116476</v>
      </c>
      <c r="E17" s="4">
        <v>546.22175351186456</v>
      </c>
      <c r="F17" s="4">
        <v>67.318943218475951</v>
      </c>
      <c r="G17" s="4">
        <v>71.711793989721841</v>
      </c>
      <c r="H17" s="3">
        <f>$I17+$J17</f>
        <v>19393.870699979809</v>
      </c>
      <c r="I17" s="3">
        <f>$K17+$L17+$M17</f>
        <v>12686.299440085928</v>
      </c>
      <c r="J17" s="3">
        <f>$N17+$O17+$P17</f>
        <v>6707.5712598938826</v>
      </c>
      <c r="K17" s="4">
        <v>854.48548878671272</v>
      </c>
      <c r="L17" s="4">
        <v>11532.065067279926</v>
      </c>
      <c r="M17" s="4">
        <v>299.74888401928933</v>
      </c>
      <c r="N17" s="3">
        <v>807.67317757651813</v>
      </c>
      <c r="O17" s="3">
        <v>2717.6183973533334</v>
      </c>
      <c r="P17" s="3">
        <v>3182.2796849640308</v>
      </c>
      <c r="Q17" s="3">
        <f>$R17+$S17</f>
        <v>15612.066026430826</v>
      </c>
      <c r="R17" s="3">
        <f>$T17+$U17+$V17</f>
        <v>7964.5971049766167</v>
      </c>
      <c r="S17" s="3">
        <f>$W17+$X17+$Y17</f>
        <v>7647.4689214542095</v>
      </c>
      <c r="T17" s="4">
        <v>6437.8109677730872</v>
      </c>
      <c r="U17" s="4">
        <v>929.32908051701224</v>
      </c>
      <c r="V17" s="4">
        <v>597.45705668651749</v>
      </c>
      <c r="W17" s="3">
        <v>1310.787306061259</v>
      </c>
      <c r="X17" s="3">
        <v>1575.9632590226024</v>
      </c>
      <c r="Y17" s="3">
        <v>4760.7183563703484</v>
      </c>
    </row>
    <row r="18" spans="1:25" x14ac:dyDescent="0.4">
      <c r="A18" s="1" t="s">
        <v>17</v>
      </c>
      <c r="B18" s="3">
        <f>$D18+$E18+$F18+$G18</f>
        <v>30364.67177417548</v>
      </c>
      <c r="C18" s="3">
        <f>$E18+$F18+$G18</f>
        <v>604.12533361364535</v>
      </c>
      <c r="D18" s="4">
        <v>29760.546440561837</v>
      </c>
      <c r="E18" s="4">
        <v>481.55446866108616</v>
      </c>
      <c r="F18" s="4">
        <v>59.349042259802395</v>
      </c>
      <c r="G18" s="4">
        <v>63.221822692756739</v>
      </c>
      <c r="H18" s="3">
        <f>$I18+$J18</f>
        <v>18171.008553271029</v>
      </c>
      <c r="I18" s="3">
        <f>$K18+$L18+$M18</f>
        <v>11184.366325339543</v>
      </c>
      <c r="J18" s="3">
        <f>$N18+$O18+$P18</f>
        <v>6986.6422279314884</v>
      </c>
      <c r="K18" s="4">
        <v>753.32280870493764</v>
      </c>
      <c r="L18" s="4">
        <v>10166.781953180547</v>
      </c>
      <c r="M18" s="4">
        <v>264.26156345405803</v>
      </c>
      <c r="N18" s="3">
        <v>873.69813029817362</v>
      </c>
      <c r="O18" s="3">
        <v>2648.7363259990111</v>
      </c>
      <c r="P18" s="3">
        <v>3464.2077716343038</v>
      </c>
      <c r="Q18" s="3">
        <f>$R18+$S18</f>
        <v>14126.009456169091</v>
      </c>
      <c r="R18" s="3">
        <f>$T18+$U18+$V18</f>
        <v>7021.6671202263469</v>
      </c>
      <c r="S18" s="3">
        <f>$W18+$X18+$Y18</f>
        <v>7104.3423359427443</v>
      </c>
      <c r="T18" s="4">
        <v>5675.6374494322345</v>
      </c>
      <c r="U18" s="4">
        <v>819.30565507941617</v>
      </c>
      <c r="V18" s="4">
        <v>526.72401571469641</v>
      </c>
      <c r="W18" s="3">
        <v>1235.6234065077533</v>
      </c>
      <c r="X18" s="3">
        <v>1467.7735766413955</v>
      </c>
      <c r="Y18" s="3">
        <v>4400.9453527935957</v>
      </c>
    </row>
    <row r="19" spans="1:25" x14ac:dyDescent="0.4">
      <c r="A19" s="1" t="s">
        <v>18</v>
      </c>
      <c r="B19" s="3">
        <f>$D19+$E19+$F19+$G19</f>
        <v>29459.857686656513</v>
      </c>
      <c r="C19" s="3">
        <f>$E19+$F19+$G19</f>
        <v>586.1234557555216</v>
      </c>
      <c r="D19" s="4">
        <v>28873.734230900991</v>
      </c>
      <c r="E19" s="4">
        <v>467.20498810708159</v>
      </c>
      <c r="F19" s="4">
        <v>57.580544647946162</v>
      </c>
      <c r="G19" s="4">
        <v>61.337923000493852</v>
      </c>
      <c r="H19" s="3">
        <f>$I19+$J19</f>
        <v>17720.731357134686</v>
      </c>
      <c r="I19" s="3">
        <f>$K19+$L19+$M19</f>
        <v>10851.091778971924</v>
      </c>
      <c r="J19" s="3">
        <f>$N19+$O19+$P19</f>
        <v>6869.6395781627607</v>
      </c>
      <c r="K19" s="4">
        <v>730.87510715114433</v>
      </c>
      <c r="L19" s="4">
        <v>9863.8296405593064</v>
      </c>
      <c r="M19" s="4">
        <v>256.38703126147311</v>
      </c>
      <c r="N19" s="3">
        <v>848.37357103478575</v>
      </c>
      <c r="O19" s="3">
        <v>2705.6787263809888</v>
      </c>
      <c r="P19" s="3">
        <v>3315.5872807469859</v>
      </c>
      <c r="Q19" s="3">
        <f>$R19+$S19</f>
        <v>13949.765365738949</v>
      </c>
      <c r="R19" s="3">
        <f>$T19+$U19+$V19</f>
        <v>6812.4337263830166</v>
      </c>
      <c r="S19" s="3">
        <f>$W19+$X19+$Y19</f>
        <v>7137.3316393559326</v>
      </c>
      <c r="T19" s="4">
        <v>5506.5133845291502</v>
      </c>
      <c r="U19" s="4">
        <v>794.89178015881555</v>
      </c>
      <c r="V19" s="4">
        <v>511.0285616950502</v>
      </c>
      <c r="W19" s="3">
        <v>1221.8739318155897</v>
      </c>
      <c r="X19" s="3">
        <v>1489.411561784975</v>
      </c>
      <c r="Y19" s="3">
        <v>4426.0461457553683</v>
      </c>
    </row>
    <row r="20" spans="1:25" x14ac:dyDescent="0.4">
      <c r="A20" s="1" t="s">
        <v>19</v>
      </c>
      <c r="B20" s="3">
        <f>$D20+$E20+$F20+$G20</f>
        <v>28537.517114587026</v>
      </c>
      <c r="C20" s="3">
        <f>$E20+$F20+$G20</f>
        <v>567.77287683436964</v>
      </c>
      <c r="D20" s="4">
        <v>27969.744237752653</v>
      </c>
      <c r="E20" s="4">
        <v>452.57755437716281</v>
      </c>
      <c r="F20" s="4">
        <v>55.777790776710908</v>
      </c>
      <c r="G20" s="4">
        <v>59.417531680495905</v>
      </c>
      <c r="H20" s="3">
        <f>$I20+$J20</f>
        <v>17679.04434252021</v>
      </c>
      <c r="I20" s="3">
        <f>$K20+$L20+$M20</f>
        <v>10511.361617833747</v>
      </c>
      <c r="J20" s="3">
        <f>$N20+$O20+$P20</f>
        <v>7167.6827246864632</v>
      </c>
      <c r="K20" s="4">
        <v>707.99258777134196</v>
      </c>
      <c r="L20" s="4">
        <v>9555.0090627331538</v>
      </c>
      <c r="M20" s="4">
        <v>248.35996732925273</v>
      </c>
      <c r="N20" s="3">
        <v>820.33545720821201</v>
      </c>
      <c r="O20" s="3">
        <v>2659.7574726799203</v>
      </c>
      <c r="P20" s="3">
        <v>3687.5897947983312</v>
      </c>
      <c r="Q20" s="3">
        <f>$R20+$S20</f>
        <v>13525.987339663596</v>
      </c>
      <c r="R20" s="3">
        <f>$T20+$U20+$V20</f>
        <v>6599.147427202297</v>
      </c>
      <c r="S20" s="3">
        <f>$W20+$X20+$Y20</f>
        <v>6926.8399124612988</v>
      </c>
      <c r="T20" s="4">
        <v>5334.1133424374548</v>
      </c>
      <c r="U20" s="4">
        <v>770.00500212196528</v>
      </c>
      <c r="V20" s="4">
        <v>495.02908264287709</v>
      </c>
      <c r="W20" s="3">
        <v>1138.4600729513838</v>
      </c>
      <c r="X20" s="3">
        <v>1510.147984492296</v>
      </c>
      <c r="Y20" s="3">
        <v>4278.2318550176187</v>
      </c>
    </row>
    <row r="21" spans="1:25" x14ac:dyDescent="0.4">
      <c r="A21" s="1" t="s">
        <v>20</v>
      </c>
      <c r="B21" s="3">
        <f>$D21+$E21+$F21+$G21</f>
        <v>28683.620873031603</v>
      </c>
      <c r="C21" s="3">
        <f>$E21+$F21+$G21</f>
        <v>570.67970824914573</v>
      </c>
      <c r="D21" s="4">
        <v>28112.941164782456</v>
      </c>
      <c r="E21" s="4">
        <v>454.89461936276246</v>
      </c>
      <c r="F21" s="4">
        <v>56.063356785747047</v>
      </c>
      <c r="G21" s="4">
        <v>59.721732100636281</v>
      </c>
      <c r="H21" s="3">
        <f>$I21+$J21</f>
        <v>17224.126748296512</v>
      </c>
      <c r="I21" s="3">
        <f>$K21+$L21+$M21</f>
        <v>10565.176721389151</v>
      </c>
      <c r="J21" s="3">
        <f>$N21+$O21+$P21</f>
        <v>6658.9500269073596</v>
      </c>
      <c r="K21" s="4">
        <v>711.61730318049797</v>
      </c>
      <c r="L21" s="4">
        <v>9603.9279203349506</v>
      </c>
      <c r="M21" s="4">
        <v>249.63149787370324</v>
      </c>
      <c r="N21" s="3">
        <v>800.43758921555025</v>
      </c>
      <c r="O21" s="3">
        <v>2579.8546362501274</v>
      </c>
      <c r="P21" s="3">
        <v>3278.6578014416818</v>
      </c>
      <c r="Q21" s="3">
        <f>$R21+$S21</f>
        <v>13818.707410301116</v>
      </c>
      <c r="R21" s="3">
        <f>$T21+$U21+$V21</f>
        <v>6632.9331359509861</v>
      </c>
      <c r="S21" s="3">
        <f>$W21+$X21+$Y21</f>
        <v>7185.7742743501303</v>
      </c>
      <c r="T21" s="4">
        <v>5361.422445894852</v>
      </c>
      <c r="U21" s="4">
        <v>773.94720299316998</v>
      </c>
      <c r="V21" s="4">
        <v>497.56348706296336</v>
      </c>
      <c r="W21" s="3">
        <v>1261.2891187422117</v>
      </c>
      <c r="X21" s="3">
        <v>1483.1003813944767</v>
      </c>
      <c r="Y21" s="3">
        <v>4441.3847742134421</v>
      </c>
    </row>
    <row r="22" spans="1:25" x14ac:dyDescent="0.4">
      <c r="A22" s="1" t="s">
        <v>21</v>
      </c>
      <c r="B22" s="3">
        <f>$D22+$E22+$F22+$G22</f>
        <v>26635.483346535904</v>
      </c>
      <c r="C22" s="3">
        <f>$E22+$F22+$G22</f>
        <v>529.93065040709246</v>
      </c>
      <c r="D22" s="4">
        <v>26105.552696128809</v>
      </c>
      <c r="E22" s="4">
        <v>422.41312950337635</v>
      </c>
      <c r="F22" s="4">
        <v>52.060184891846959</v>
      </c>
      <c r="G22" s="4">
        <v>55.457336011869117</v>
      </c>
      <c r="H22" s="3">
        <f>$I22+$J22</f>
        <v>16480.00751325977</v>
      </c>
      <c r="I22" s="3">
        <f>$K22+$L22+$M22</f>
        <v>9810.7763263720444</v>
      </c>
      <c r="J22" s="3">
        <f>$N22+$O22+$P22</f>
        <v>6669.2311868877277</v>
      </c>
      <c r="K22" s="4">
        <v>660.80467706194599</v>
      </c>
      <c r="L22" s="4">
        <v>8918.1649456230734</v>
      </c>
      <c r="M22" s="4">
        <v>231.80670368702613</v>
      </c>
      <c r="N22" s="3">
        <v>768.78189013631516</v>
      </c>
      <c r="O22" s="3">
        <v>2325.4508831140988</v>
      </c>
      <c r="P22" s="3">
        <v>3574.9984136373137</v>
      </c>
      <c r="Q22" s="3">
        <f>$R22+$S22</f>
        <v>13306.95605675572</v>
      </c>
      <c r="R22" s="3">
        <f>$T22+$U22+$V22</f>
        <v>6159.312342864474</v>
      </c>
      <c r="S22" s="3">
        <f>$W22+$X22+$Y22</f>
        <v>7147.6437138912461</v>
      </c>
      <c r="T22" s="4">
        <v>4978.593145666654</v>
      </c>
      <c r="U22" s="4">
        <v>718.68394606360084</v>
      </c>
      <c r="V22" s="4">
        <v>462.03525113421932</v>
      </c>
      <c r="W22" s="3">
        <v>1239.2898808074917</v>
      </c>
      <c r="X22" s="3">
        <v>1448.8405221432811</v>
      </c>
      <c r="Y22" s="3">
        <v>4459.5133109404733</v>
      </c>
    </row>
    <row r="23" spans="1:25" x14ac:dyDescent="0.4">
      <c r="A23" s="1" t="s">
        <v>22</v>
      </c>
      <c r="B23" s="3">
        <f>$D23+$E23+$F23+$G23</f>
        <v>24401.415922233999</v>
      </c>
      <c r="C23" s="3">
        <f>$E23+$F23+$G23</f>
        <v>485.48239362831777</v>
      </c>
      <c r="D23" s="4">
        <v>23915.933528605685</v>
      </c>
      <c r="E23" s="4">
        <v>386.98297042035574</v>
      </c>
      <c r="F23" s="4">
        <v>47.693605105896296</v>
      </c>
      <c r="G23" s="4">
        <v>50.805818102065736</v>
      </c>
      <c r="H23" s="3">
        <f>$I23+$J23</f>
        <v>15587.861917685785</v>
      </c>
      <c r="I23" s="3">
        <f>$K23+$L23+$M23</f>
        <v>8987.8914733847396</v>
      </c>
      <c r="J23" s="3">
        <f>$N23+$O23+$P23</f>
        <v>6599.9704443010451</v>
      </c>
      <c r="K23" s="4">
        <v>605.37928141045586</v>
      </c>
      <c r="L23" s="4">
        <v>8170.1484170565354</v>
      </c>
      <c r="M23" s="4">
        <v>212.36377491774815</v>
      </c>
      <c r="N23" s="3">
        <v>778.73082413264626</v>
      </c>
      <c r="O23" s="3">
        <v>2375.0458523754705</v>
      </c>
      <c r="P23" s="3">
        <v>3446.1937677929282</v>
      </c>
      <c r="Q23" s="3">
        <f>$R23+$S23</f>
        <v>12629.837606982619</v>
      </c>
      <c r="R23" s="3">
        <f>$T23+$U23+$V23</f>
        <v>5642.6962603902757</v>
      </c>
      <c r="S23" s="3">
        <f>$W23+$X23+$Y23</f>
        <v>6987.1413465923433</v>
      </c>
      <c r="T23" s="4">
        <v>4561.0106065822592</v>
      </c>
      <c r="U23" s="4">
        <v>658.40389139441277</v>
      </c>
      <c r="V23" s="4">
        <v>423.28176241360438</v>
      </c>
      <c r="W23" s="3">
        <v>1190.7083120633793</v>
      </c>
      <c r="X23" s="3">
        <v>1594.8965568574067</v>
      </c>
      <c r="Y23" s="3">
        <v>4201.5364776715569</v>
      </c>
    </row>
    <row r="24" spans="1:25" x14ac:dyDescent="0.4">
      <c r="A24" s="1" t="s">
        <v>23</v>
      </c>
      <c r="B24" s="3">
        <f>$D24+$E24+$F24+$G24</f>
        <v>24938.024672621323</v>
      </c>
      <c r="C24" s="3">
        <f>$E24+$F24+$G24</f>
        <v>496.15858149422615</v>
      </c>
      <c r="D24" s="4">
        <v>24441.866091127096</v>
      </c>
      <c r="E24" s="4">
        <v>395.49306872121821</v>
      </c>
      <c r="F24" s="4">
        <v>48.742429728160197</v>
      </c>
      <c r="G24" s="4">
        <v>51.923083044847758</v>
      </c>
      <c r="H24" s="3">
        <f>$I24+$J24</f>
        <v>16096.085857050999</v>
      </c>
      <c r="I24" s="3">
        <f>$K24+$L24+$M24</f>
        <v>9185.5431681683713</v>
      </c>
      <c r="J24" s="3">
        <f>$N24+$O24+$P24</f>
        <v>6910.5426888826278</v>
      </c>
      <c r="K24" s="4">
        <v>618.69210804081717</v>
      </c>
      <c r="L24" s="4">
        <v>8349.8172176920307</v>
      </c>
      <c r="M24" s="4">
        <v>217.03384243552333</v>
      </c>
      <c r="N24" s="3">
        <v>889.97820411035161</v>
      </c>
      <c r="O24" s="3">
        <v>2341.9827939381817</v>
      </c>
      <c r="P24" s="3">
        <v>3678.5816908340948</v>
      </c>
      <c r="Q24" s="3">
        <f>$R24+$S24</f>
        <v>13168.229152951697</v>
      </c>
      <c r="R24" s="3">
        <f>$T24+$U24+$V24</f>
        <v>5766.7841493370925</v>
      </c>
      <c r="S24" s="3">
        <f>$W24+$X24+$Y24</f>
        <v>7401.4450036146045</v>
      </c>
      <c r="T24" s="4">
        <v>4661.311269867595</v>
      </c>
      <c r="U24" s="4">
        <v>672.88277616639778</v>
      </c>
      <c r="V24" s="4">
        <v>432.59010330309945</v>
      </c>
      <c r="W24" s="3">
        <v>1290.6215013445526</v>
      </c>
      <c r="X24" s="3">
        <v>1723.8226619459349</v>
      </c>
      <c r="Y24" s="3">
        <v>4387.0008403241172</v>
      </c>
    </row>
    <row r="25" spans="1:25" x14ac:dyDescent="0.4">
      <c r="A25" s="1" t="s">
        <v>24</v>
      </c>
      <c r="B25" s="3">
        <f>$D25+$E25+$F25+$G25</f>
        <v>26648.311241611184</v>
      </c>
      <c r="C25" s="3">
        <f>$E25+$F25+$G25</f>
        <v>530.18586990854294</v>
      </c>
      <c r="D25" s="4">
        <v>26118.125371702637</v>
      </c>
      <c r="E25" s="4">
        <v>422.61656757255611</v>
      </c>
      <c r="F25" s="4">
        <v>52.085257558286067</v>
      </c>
      <c r="G25" s="4">
        <v>55.484044777700738</v>
      </c>
      <c r="H25" s="3">
        <f>$I25+$J25</f>
        <v>17755.744589636462</v>
      </c>
      <c r="I25" s="3">
        <f>$K25+$L25+$M25</f>
        <v>9815.5012869700713</v>
      </c>
      <c r="J25" s="3">
        <f>$N25+$O25+$P25</f>
        <v>7940.2433026663903</v>
      </c>
      <c r="K25" s="4">
        <v>661.12292670481224</v>
      </c>
      <c r="L25" s="4">
        <v>8922.4600163262439</v>
      </c>
      <c r="M25" s="4">
        <v>231.91834393901465</v>
      </c>
      <c r="N25" s="3">
        <v>1003.0342722504761</v>
      </c>
      <c r="O25" s="3">
        <v>2373.2091853980387</v>
      </c>
      <c r="P25" s="3">
        <v>4563.9998450178755</v>
      </c>
      <c r="Q25" s="3">
        <f>$R25+$S25</f>
        <v>13532.359918518943</v>
      </c>
      <c r="R25" s="3">
        <f>$T25+$U25+$V25</f>
        <v>6162.2787246433281</v>
      </c>
      <c r="S25" s="3">
        <f>$W25+$X25+$Y25</f>
        <v>7370.0811938756151</v>
      </c>
      <c r="T25" s="4">
        <v>4980.9908821621484</v>
      </c>
      <c r="U25" s="4">
        <v>719.03007089762195</v>
      </c>
      <c r="V25" s="4">
        <v>462.25777158355817</v>
      </c>
      <c r="W25" s="3">
        <v>1360.2856894484501</v>
      </c>
      <c r="X25" s="3">
        <v>1788.7363740399833</v>
      </c>
      <c r="Y25" s="3">
        <v>4221.0591303871815</v>
      </c>
    </row>
    <row r="26" spans="1:25" x14ac:dyDescent="0.4">
      <c r="A26" s="1" t="s">
        <v>25</v>
      </c>
      <c r="B26" s="3">
        <f>$D26+$E26+$F26+$G26</f>
        <v>28922.13022448937</v>
      </c>
      <c r="C26" s="3">
        <f>$E26+$F26+$G26</f>
        <v>575.42501037495197</v>
      </c>
      <c r="D26" s="4">
        <v>28346.70521411442</v>
      </c>
      <c r="E26" s="4">
        <v>458.67714811413953</v>
      </c>
      <c r="F26" s="4">
        <v>56.529533455934661</v>
      </c>
      <c r="G26" s="4">
        <v>60.218328804877679</v>
      </c>
      <c r="H26" s="3">
        <f>$I26+$J26</f>
        <v>20736.83804739199</v>
      </c>
      <c r="I26" s="3">
        <f>$K26+$L26+$M26</f>
        <v>10653.02802367102</v>
      </c>
      <c r="J26" s="3">
        <f>$N26+$O26+$P26</f>
        <v>10083.810023720969</v>
      </c>
      <c r="K26" s="4">
        <v>717.53452619146321</v>
      </c>
      <c r="L26" s="4">
        <v>9683.7862698043482</v>
      </c>
      <c r="M26" s="4">
        <v>251.70722767521053</v>
      </c>
      <c r="N26" s="3">
        <v>1414.5587781361751</v>
      </c>
      <c r="O26" s="3">
        <v>2603.7335965893776</v>
      </c>
      <c r="P26" s="3">
        <v>6065.5176489954174</v>
      </c>
      <c r="Q26" s="3">
        <f>$R26+$S26</f>
        <v>14325.69379510868</v>
      </c>
      <c r="R26" s="3">
        <f>$T26+$U26+$V26</f>
        <v>6688.0871413508348</v>
      </c>
      <c r="S26" s="3">
        <f>$W26+$X26+$Y26</f>
        <v>7637.6066537578454</v>
      </c>
      <c r="T26" s="4">
        <v>5406.0036163168816</v>
      </c>
      <c r="U26" s="4">
        <v>780.38271008153799</v>
      </c>
      <c r="V26" s="4">
        <v>501.7008149524151</v>
      </c>
      <c r="W26" s="3">
        <v>1417.1170214351187</v>
      </c>
      <c r="X26" s="3">
        <v>1933.8908463178507</v>
      </c>
      <c r="Y26" s="3">
        <v>4286.5987860048763</v>
      </c>
    </row>
    <row r="27" spans="1:25" x14ac:dyDescent="0.4">
      <c r="A27" s="1" t="s">
        <v>26</v>
      </c>
      <c r="B27" s="3">
        <f>$D27+$E27+$F27+$G27</f>
        <v>33165.702328490494</v>
      </c>
      <c r="C27" s="3">
        <f>$E27+$F27+$G27</f>
        <v>659.8536988228069</v>
      </c>
      <c r="D27" s="4">
        <v>32505.848629667693</v>
      </c>
      <c r="E27" s="4">
        <v>525.97611729006303</v>
      </c>
      <c r="F27" s="4">
        <v>64.82377559383508</v>
      </c>
      <c r="G27" s="4">
        <v>69.053805938908809</v>
      </c>
      <c r="H27" s="3">
        <f>$I27+$J27</f>
        <v>26215.752685808613</v>
      </c>
      <c r="I27" s="3">
        <f>$K27+$L27+$M27</f>
        <v>12216.083448479059</v>
      </c>
      <c r="J27" s="3">
        <f>$N27+$O27+$P27</f>
        <v>13999.669237329554</v>
      </c>
      <c r="K27" s="4">
        <v>822.81409845566429</v>
      </c>
      <c r="L27" s="4">
        <v>11104.630618290659</v>
      </c>
      <c r="M27" s="4">
        <v>288.63873173273515</v>
      </c>
      <c r="N27" s="3">
        <v>2060.3356661360349</v>
      </c>
      <c r="O27" s="3">
        <v>2813.1346203157741</v>
      </c>
      <c r="P27" s="3">
        <v>9126.1989508777442</v>
      </c>
      <c r="Q27" s="3">
        <f>$R27+$S27</f>
        <v>15423.171881539391</v>
      </c>
      <c r="R27" s="3">
        <f>$T27+$U27+$V27</f>
        <v>7669.3903787636018</v>
      </c>
      <c r="S27" s="3">
        <f>$W27+$X27+$Y27</f>
        <v>7753.7815027757879</v>
      </c>
      <c r="T27" s="4">
        <v>6199.1943654860697</v>
      </c>
      <c r="U27" s="4">
        <v>894.8836224708599</v>
      </c>
      <c r="V27" s="4">
        <v>575.31239080667217</v>
      </c>
      <c r="W27" s="3">
        <v>1561.0286865857315</v>
      </c>
      <c r="X27" s="3">
        <v>2152.9751417257298</v>
      </c>
      <c r="Y27" s="3">
        <v>4039.777674464327</v>
      </c>
    </row>
    <row r="28" spans="1:25" x14ac:dyDescent="0.4">
      <c r="A28" s="1" t="s">
        <v>27</v>
      </c>
      <c r="B28" s="3">
        <f>$D28+$E28+$F28+$G28</f>
        <v>35523.723017996526</v>
      </c>
      <c r="C28" s="3">
        <f>$E28+$F28+$G28</f>
        <v>706.76808822606233</v>
      </c>
      <c r="D28" s="4">
        <v>34816.954929770465</v>
      </c>
      <c r="E28" s="4">
        <v>563.37205585550657</v>
      </c>
      <c r="F28" s="4">
        <v>69.432627307819445</v>
      </c>
      <c r="G28" s="4">
        <v>73.963405062736328</v>
      </c>
      <c r="H28" s="3">
        <f>$I28+$J28</f>
        <v>29467.603618828583</v>
      </c>
      <c r="I28" s="3">
        <f>$K28+$L28+$M28</f>
        <v>13084.624606779831</v>
      </c>
      <c r="J28" s="3">
        <f>$N28+$O28+$P28</f>
        <v>16382.979012048752</v>
      </c>
      <c r="K28" s="4">
        <v>881.31467379577987</v>
      </c>
      <c r="L28" s="4">
        <v>11894.149516093637</v>
      </c>
      <c r="M28" s="4">
        <v>309.16041689041373</v>
      </c>
      <c r="N28" s="3">
        <v>2089.2782285077296</v>
      </c>
      <c r="O28" s="3">
        <v>3273.265300012456</v>
      </c>
      <c r="P28" s="3">
        <v>11020.435483528567</v>
      </c>
      <c r="Q28" s="3">
        <f>$R28+$S28</f>
        <v>15919.465843774533</v>
      </c>
      <c r="R28" s="3">
        <f>$T28+$U28+$V28</f>
        <v>8214.6699874962578</v>
      </c>
      <c r="S28" s="3">
        <f>$W28+$X28+$Y28</f>
        <v>7704.7958562782751</v>
      </c>
      <c r="T28" s="4">
        <v>6639.9457304745965</v>
      </c>
      <c r="U28" s="4">
        <v>958.50820896646053</v>
      </c>
      <c r="V28" s="4">
        <v>616.21604805520099</v>
      </c>
      <c r="W28" s="3">
        <v>1671.0248762593303</v>
      </c>
      <c r="X28" s="3">
        <v>2168.3019464788104</v>
      </c>
      <c r="Y28" s="3">
        <v>3865.4690335401351</v>
      </c>
    </row>
    <row r="29" spans="1:25" x14ac:dyDescent="0.4">
      <c r="A29" s="1" t="s">
        <v>28</v>
      </c>
      <c r="B29" s="3">
        <f>$D29+$E29+$F29+$G29</f>
        <v>44220.215490395887</v>
      </c>
      <c r="C29" s="3">
        <f>$E29+$F29+$G29</f>
        <v>879.79058803207192</v>
      </c>
      <c r="D29" s="4">
        <v>43340.424902363819</v>
      </c>
      <c r="E29" s="4">
        <v>701.29005618518829</v>
      </c>
      <c r="F29" s="4">
        <v>86.430291669053872</v>
      </c>
      <c r="G29" s="4">
        <v>92.070240177829731</v>
      </c>
      <c r="H29" s="3">
        <f>$I29+$J29</f>
        <v>30535.930042166387</v>
      </c>
      <c r="I29" s="3">
        <f>$K29+$L29+$M29</f>
        <v>16287.845714527617</v>
      </c>
      <c r="J29" s="3">
        <f>$N29+$O29+$P29</f>
        <v>14248.084327638768</v>
      </c>
      <c r="K29" s="4">
        <v>1097.0675784842128</v>
      </c>
      <c r="L29" s="4">
        <v>14805.932768088338</v>
      </c>
      <c r="M29" s="4">
        <v>384.84536795506608</v>
      </c>
      <c r="N29" s="3">
        <v>1536.6595406553324</v>
      </c>
      <c r="O29" s="3">
        <v>3476.2370353042425</v>
      </c>
      <c r="P29" s="3">
        <v>9235.1877516791938</v>
      </c>
      <c r="Q29" s="3">
        <f>$R29+$S29</f>
        <v>18271.465971306257</v>
      </c>
      <c r="R29" s="3">
        <f>$T29+$U29+$V29</f>
        <v>10225.687123096457</v>
      </c>
      <c r="S29" s="3">
        <f>$W29+$X29+$Y29</f>
        <v>8045.7788482098003</v>
      </c>
      <c r="T29" s="4">
        <v>8265.4577308062926</v>
      </c>
      <c r="U29" s="4">
        <v>1193.1587105421802</v>
      </c>
      <c r="V29" s="4">
        <v>767.07068174798371</v>
      </c>
      <c r="W29" s="3">
        <v>1797.5203963498961</v>
      </c>
      <c r="X29" s="3">
        <v>1982.5764345592493</v>
      </c>
      <c r="Y29" s="3">
        <v>4265.6820173006554</v>
      </c>
    </row>
    <row r="30" spans="1:25" x14ac:dyDescent="0.4">
      <c r="A30" s="1" t="s">
        <v>29</v>
      </c>
      <c r="B30" s="3">
        <f>$D30+$E30+$F30+$G30</f>
        <v>29325.463111507386</v>
      </c>
      <c r="C30" s="3">
        <f>$E30+$F30+$G30</f>
        <v>583.44958632753458</v>
      </c>
      <c r="D30" s="4">
        <v>28742.013525179857</v>
      </c>
      <c r="E30" s="4">
        <v>465.07361949858205</v>
      </c>
      <c r="F30" s="4">
        <v>57.317864735601546</v>
      </c>
      <c r="G30" s="4">
        <v>61.058102093350954</v>
      </c>
      <c r="H30" s="3">
        <f>$I30+$J30</f>
        <v>21983.028738794426</v>
      </c>
      <c r="I30" s="3">
        <f>$K30+$L30+$M30</f>
        <v>10801.589575497275</v>
      </c>
      <c r="J30" s="3">
        <f>$N30+$O30+$P30</f>
        <v>11181.439163297151</v>
      </c>
      <c r="K30" s="4">
        <v>727.54088705553477</v>
      </c>
      <c r="L30" s="4">
        <v>9818.8312835412162</v>
      </c>
      <c r="M30" s="4">
        <v>255.21740490052369</v>
      </c>
      <c r="N30" s="3">
        <v>1154.0773882135052</v>
      </c>
      <c r="O30" s="3">
        <v>3201.6280373892664</v>
      </c>
      <c r="P30" s="3">
        <v>6825.7337376943797</v>
      </c>
      <c r="Q30" s="3">
        <f>$R30+$S30</f>
        <v>15134.681793589061</v>
      </c>
      <c r="R30" s="3">
        <f>$T30+$U30+$V30</f>
        <v>6781.3557033278166</v>
      </c>
      <c r="S30" s="3">
        <f>$W30+$X30+$Y30</f>
        <v>8353.3260902612456</v>
      </c>
      <c r="T30" s="4">
        <v>5481.3929126403145</v>
      </c>
      <c r="U30" s="4">
        <v>791.26551881633929</v>
      </c>
      <c r="V30" s="4">
        <v>508.69727187116274</v>
      </c>
      <c r="W30" s="3">
        <v>1822.2694900094198</v>
      </c>
      <c r="X30" s="3">
        <v>2125.9277819645999</v>
      </c>
      <c r="Y30" s="3">
        <v>4405.1288182872249</v>
      </c>
    </row>
    <row r="31" spans="1:25" x14ac:dyDescent="0.4">
      <c r="A31" s="1" t="s">
        <v>30</v>
      </c>
      <c r="B31" s="3">
        <f>$D31+$E31+$F31+$G31</f>
        <v>18321.217398908604</v>
      </c>
      <c r="C31" s="3">
        <f>$E31+$F31+$G31</f>
        <v>364.51280144372089</v>
      </c>
      <c r="D31" s="4">
        <v>17956.704597464883</v>
      </c>
      <c r="E31" s="4">
        <v>290.55687396756815</v>
      </c>
      <c r="F31" s="4">
        <v>35.80959852770809</v>
      </c>
      <c r="G31" s="4">
        <v>38.146328948444626</v>
      </c>
      <c r="H31" s="3">
        <f>$I31+$J31</f>
        <v>15521.189230562752</v>
      </c>
      <c r="I31" s="3">
        <f>$K31+$L31+$M31</f>
        <v>6748.3425620246953</v>
      </c>
      <c r="J31" s="3">
        <f>$N31+$O31+$P31</f>
        <v>8772.8466685380554</v>
      </c>
      <c r="K31" s="4">
        <v>454.53450155775226</v>
      </c>
      <c r="L31" s="4">
        <v>6134.3598177780514</v>
      </c>
      <c r="M31" s="4">
        <v>159.4482426888919</v>
      </c>
      <c r="N31" s="3">
        <v>824.85769993381712</v>
      </c>
      <c r="O31" s="3">
        <v>2895.7926480144338</v>
      </c>
      <c r="P31" s="3">
        <v>5052.1963205898046</v>
      </c>
      <c r="Q31" s="3">
        <f>$R31+$S31</f>
        <v>12247.876948749647</v>
      </c>
      <c r="R31" s="3">
        <f>$T31+$U31+$V31</f>
        <v>4236.6830364307025</v>
      </c>
      <c r="S31" s="3">
        <f>$W31+$X31+$Y31</f>
        <v>8011.193912318945</v>
      </c>
      <c r="T31" s="4">
        <v>3424.5253287035966</v>
      </c>
      <c r="U31" s="4">
        <v>494.34675712949672</v>
      </c>
      <c r="V31" s="4">
        <v>317.81095059760929</v>
      </c>
      <c r="W31" s="3">
        <v>1674.6913505590685</v>
      </c>
      <c r="X31" s="3">
        <v>2208.8732294571946</v>
      </c>
      <c r="Y31" s="3">
        <v>4127.6293323026821</v>
      </c>
    </row>
    <row r="32" spans="1:25" x14ac:dyDescent="0.4">
      <c r="A32" s="1" t="s">
        <v>31</v>
      </c>
      <c r="B32" s="3">
        <f>$D32+$E32+$F32+$G32</f>
        <v>15815.974239178171</v>
      </c>
      <c r="C32" s="3">
        <f>$E32+$F32+$G32</f>
        <v>314.66932311102784</v>
      </c>
      <c r="D32" s="4">
        <v>15501.304916067143</v>
      </c>
      <c r="E32" s="4">
        <v>250.82612872444531</v>
      </c>
      <c r="F32" s="4">
        <v>30.91299423493998</v>
      </c>
      <c r="G32" s="4">
        <v>32.93020015164258</v>
      </c>
      <c r="H32" s="3">
        <f>$I32+$J32</f>
        <v>12920.898439742676</v>
      </c>
      <c r="I32" s="3">
        <f>$K32+$L32+$M32</f>
        <v>5825.5742396512478</v>
      </c>
      <c r="J32" s="3">
        <f>$N32+$O32+$P32</f>
        <v>7095.324200091427</v>
      </c>
      <c r="K32" s="4">
        <v>392.38145647916082</v>
      </c>
      <c r="L32" s="4">
        <v>5295.5474922538115</v>
      </c>
      <c r="M32" s="4">
        <v>137.64529091827538</v>
      </c>
      <c r="N32" s="3">
        <v>627.68791709743994</v>
      </c>
      <c r="O32" s="3">
        <v>2591.7943072224725</v>
      </c>
      <c r="P32" s="3">
        <v>3875.8419757715146</v>
      </c>
      <c r="Q32" s="3">
        <f>$R32+$S32</f>
        <v>12000.965181194126</v>
      </c>
      <c r="R32" s="3">
        <f>$T32+$U32+$V32</f>
        <v>3657.3590228639923</v>
      </c>
      <c r="S32" s="3">
        <f>$W32+$X32+$Y32</f>
        <v>8343.6061583301343</v>
      </c>
      <c r="T32" s="4">
        <v>2956.2557553307397</v>
      </c>
      <c r="U32" s="4">
        <v>426.74978445739862</v>
      </c>
      <c r="V32" s="4">
        <v>274.35348307585406</v>
      </c>
      <c r="W32" s="3">
        <v>1960.6814437104244</v>
      </c>
      <c r="X32" s="3">
        <v>2419.8429762653686</v>
      </c>
      <c r="Y32" s="3">
        <v>3963.0817383543417</v>
      </c>
    </row>
    <row r="33" spans="1:25" x14ac:dyDescent="0.4">
      <c r="A33" s="1" t="s">
        <v>32</v>
      </c>
      <c r="B33" s="3">
        <f>$D33+$E33+$F33+$G33</f>
        <v>16907.836936283158</v>
      </c>
      <c r="C33" s="3">
        <f>$E33+$F33+$G33</f>
        <v>336.39265742053414</v>
      </c>
      <c r="D33" s="4">
        <v>16571.444278862622</v>
      </c>
      <c r="E33" s="4">
        <v>268.14202019416393</v>
      </c>
      <c r="F33" s="4">
        <v>33.04708630859438</v>
      </c>
      <c r="G33" s="4">
        <v>35.203550917775821</v>
      </c>
      <c r="H33" s="3">
        <f>$I33+$J33</f>
        <v>13801.503860104072</v>
      </c>
      <c r="I33" s="3">
        <f>$K33+$L33+$M33</f>
        <v>6227.7453045063357</v>
      </c>
      <c r="J33" s="3">
        <f>$N33+$O33+$P33</f>
        <v>7573.7585555977375</v>
      </c>
      <c r="K33" s="4">
        <v>419.46968189521209</v>
      </c>
      <c r="L33" s="4">
        <v>5661.1279288491751</v>
      </c>
      <c r="M33" s="4">
        <v>147.14769376194855</v>
      </c>
      <c r="N33" s="3">
        <v>688.28596962054667</v>
      </c>
      <c r="O33" s="3">
        <v>2679.9630990643063</v>
      </c>
      <c r="P33" s="3">
        <v>4205.5094869128843</v>
      </c>
      <c r="Q33" s="3">
        <f>$R33+$S33</f>
        <v>11659.684703919746</v>
      </c>
      <c r="R33" s="3">
        <f>$T33+$U33+$V33</f>
        <v>3909.8464021803752</v>
      </c>
      <c r="S33" s="3">
        <f>$W33+$X33+$Y33</f>
        <v>7749.8383017393699</v>
      </c>
      <c r="T33" s="4">
        <v>3160.3421640169536</v>
      </c>
      <c r="U33" s="4">
        <v>456.21064242291067</v>
      </c>
      <c r="V33" s="4">
        <v>293.29359574051114</v>
      </c>
      <c r="W33" s="3">
        <v>1574.7781612778949</v>
      </c>
      <c r="X33" s="3">
        <v>2019.54122445591</v>
      </c>
      <c r="Y33" s="3">
        <v>4155.5189160055652</v>
      </c>
    </row>
    <row r="34" spans="1:25" x14ac:dyDescent="0.4">
      <c r="A34" s="1" t="s">
        <v>33</v>
      </c>
      <c r="B34" s="3">
        <f>$D34+$E34+$F34+$G34</f>
        <v>16243.844204566924</v>
      </c>
      <c r="C34" s="3">
        <f>$E34+$F34+$G34</f>
        <v>323.18208055185016</v>
      </c>
      <c r="D34" s="4">
        <v>15920.662124015073</v>
      </c>
      <c r="E34" s="4">
        <v>257.61173455516774</v>
      </c>
      <c r="F34" s="4">
        <v>31.749284277737477</v>
      </c>
      <c r="G34" s="4">
        <v>33.821061718944932</v>
      </c>
      <c r="H34" s="3">
        <f>$I34+$J34</f>
        <v>13636.434779025853</v>
      </c>
      <c r="I34" s="3">
        <f>$K34+$L34+$M34</f>
        <v>5983.173652156278</v>
      </c>
      <c r="J34" s="3">
        <f>$N34+$O34+$P34</f>
        <v>7653.2611268695746</v>
      </c>
      <c r="K34" s="4">
        <v>402.99656229964489</v>
      </c>
      <c r="L34" s="4">
        <v>5438.8080772775547</v>
      </c>
      <c r="M34" s="4">
        <v>141.3690125790782</v>
      </c>
      <c r="N34" s="3">
        <v>676.52813853397356</v>
      </c>
      <c r="O34" s="3">
        <v>2788.3371356850876</v>
      </c>
      <c r="P34" s="3">
        <v>4188.395852650513</v>
      </c>
      <c r="Q34" s="3">
        <f>$R34+$S34</f>
        <v>11753.532948976113</v>
      </c>
      <c r="R34" s="3">
        <f>$T34+$U34+$V34</f>
        <v>3756.3016523133156</v>
      </c>
      <c r="S34" s="3">
        <f>$W34+$X34+$Y34</f>
        <v>7997.2312966627978</v>
      </c>
      <c r="T34" s="4">
        <v>3036.2314197182268</v>
      </c>
      <c r="U34" s="4">
        <v>438.29465755494937</v>
      </c>
      <c r="V34" s="4">
        <v>281.77557504013942</v>
      </c>
      <c r="W34" s="3">
        <v>1778.2710141399803</v>
      </c>
      <c r="X34" s="3">
        <v>2102.4866719485044</v>
      </c>
      <c r="Y34" s="3">
        <v>4116.4736105743132</v>
      </c>
    </row>
    <row r="35" spans="1:25" x14ac:dyDescent="0.4">
      <c r="A35" s="1" t="s">
        <v>34</v>
      </c>
      <c r="B35" s="3">
        <f>$D35+$E35+$F35+$G35</f>
        <v>91185.376784545122</v>
      </c>
      <c r="C35" s="3">
        <f>$E35+$F35+$G35</f>
        <v>1814.1936978716151</v>
      </c>
      <c r="D35" s="4">
        <v>89371.183086673511</v>
      </c>
      <c r="E35" s="4">
        <v>1446.1123108364282</v>
      </c>
      <c r="F35" s="4">
        <v>178.22569664212759</v>
      </c>
      <c r="G35" s="4">
        <v>189.85569039305935</v>
      </c>
      <c r="H35" s="3">
        <f>$I35+$J35</f>
        <v>41053.890075724601</v>
      </c>
      <c r="I35" s="3">
        <f>$K35+$L35+$M35</f>
        <v>33586.750584928974</v>
      </c>
      <c r="J35" s="3">
        <f>$N35+$O35+$P35</f>
        <v>7467.1394907956264</v>
      </c>
      <c r="K35" s="4">
        <v>2262.2350296759237</v>
      </c>
      <c r="L35" s="4">
        <v>30530.93575263107</v>
      </c>
      <c r="M35" s="4">
        <v>793.57980262197589</v>
      </c>
      <c r="N35" s="3">
        <v>672.00589580836868</v>
      </c>
      <c r="O35" s="3">
        <v>2666.1863795090908</v>
      </c>
      <c r="P35" s="3">
        <v>4128.947215478167</v>
      </c>
      <c r="Q35" s="3">
        <f>$R35+$S35</f>
        <v>28540.93297286411</v>
      </c>
      <c r="R35" s="3">
        <f>$T35+$U35+$V35</f>
        <v>21086.128207650523</v>
      </c>
      <c r="S35" s="3">
        <f>$W35+$X35+$Y35</f>
        <v>7454.8047652135883</v>
      </c>
      <c r="T35" s="4">
        <v>17043.989250662864</v>
      </c>
      <c r="U35" s="4">
        <v>2460.3820985038051</v>
      </c>
      <c r="V35" s="4">
        <v>1581.7568584838571</v>
      </c>
      <c r="W35" s="3">
        <v>1656.3585869240874</v>
      </c>
      <c r="X35" s="3">
        <v>1948.3163319713633</v>
      </c>
      <c r="Y35" s="3">
        <v>3850.1298463181379</v>
      </c>
    </row>
    <row r="36" spans="1:25" x14ac:dyDescent="0.4">
      <c r="A36" s="1" t="s">
        <v>35</v>
      </c>
      <c r="B36" s="3">
        <f>$D36+$E36+$F36+$G36</f>
        <v>101095.37321490864</v>
      </c>
      <c r="C36" s="3">
        <f>$E36+$F36+$G36</f>
        <v>2011.3596657479779</v>
      </c>
      <c r="D36" s="4">
        <v>99084.013549160663</v>
      </c>
      <c r="E36" s="4">
        <v>1603.2753159546201</v>
      </c>
      <c r="F36" s="4">
        <v>197.59520609423839</v>
      </c>
      <c r="G36" s="4">
        <v>210.48914369911955</v>
      </c>
      <c r="H36" s="3">
        <f>$I36+$J36</f>
        <v>44053.384820484265</v>
      </c>
      <c r="I36" s="3">
        <f>$K36+$L36+$M36</f>
        <v>37236.947471109612</v>
      </c>
      <c r="J36" s="3">
        <f>$N36+$O36+$P36</f>
        <v>6816.4373493746534</v>
      </c>
      <c r="K36" s="4">
        <v>2508.0939805217727</v>
      </c>
      <c r="L36" s="4">
        <v>33849.027698877348</v>
      </c>
      <c r="M36" s="4">
        <v>879.82579171049474</v>
      </c>
      <c r="N36" s="3">
        <v>668.38810162788479</v>
      </c>
      <c r="O36" s="3">
        <v>2460.459452948437</v>
      </c>
      <c r="P36" s="3">
        <v>3687.5897947983312</v>
      </c>
      <c r="Q36" s="3">
        <f>$R36+$S36</f>
        <v>30896.64142829812</v>
      </c>
      <c r="R36" s="3">
        <f>$T36+$U36+$V36</f>
        <v>23377.761610249141</v>
      </c>
      <c r="S36" s="3">
        <f>$W36+$X36+$Y36</f>
        <v>7518.8798180489775</v>
      </c>
      <c r="T36" s="4">
        <v>18896.324335402576</v>
      </c>
      <c r="U36" s="4">
        <v>2727.7756069071779</v>
      </c>
      <c r="V36" s="4">
        <v>1753.6616679393881</v>
      </c>
      <c r="W36" s="3">
        <v>1496.8642099314418</v>
      </c>
      <c r="X36" s="3">
        <v>2097.9786164305228</v>
      </c>
      <c r="Y36" s="3">
        <v>3924.0369916870127</v>
      </c>
    </row>
    <row r="37" spans="1:25" x14ac:dyDescent="0.4">
      <c r="A37" s="1" t="s">
        <v>36</v>
      </c>
      <c r="B37" s="3">
        <f>$D37+$E37+$F37+$G37</f>
        <v>29776.676862701734</v>
      </c>
      <c r="C37" s="3">
        <f>$E37+$F37+$G37</f>
        <v>592.42678390762421</v>
      </c>
      <c r="D37" s="4">
        <v>29184.250078794106</v>
      </c>
      <c r="E37" s="4">
        <v>472.22943530403273</v>
      </c>
      <c r="F37" s="4">
        <v>58.199781200465551</v>
      </c>
      <c r="G37" s="4">
        <v>61.997567403125956</v>
      </c>
      <c r="H37" s="3">
        <f>$I37+$J37</f>
        <v>17496.652373539768</v>
      </c>
      <c r="I37" s="3">
        <f>$K37+$L37+$M37</f>
        <v>10967.787317462662</v>
      </c>
      <c r="J37" s="3">
        <f>$N37+$O37+$P37</f>
        <v>6528.8650560771057</v>
      </c>
      <c r="K37" s="4">
        <v>738.73513321449025</v>
      </c>
      <c r="L37" s="4">
        <v>9969.9078983910749</v>
      </c>
      <c r="M37" s="4">
        <v>259.14428585709629</v>
      </c>
      <c r="N37" s="3">
        <v>592.41421490989819</v>
      </c>
      <c r="O37" s="3">
        <v>2557.8123428883096</v>
      </c>
      <c r="P37" s="3">
        <v>3378.6384982788977</v>
      </c>
      <c r="Q37" s="3">
        <f>$R37+$S37</f>
        <v>14070.348193901271</v>
      </c>
      <c r="R37" s="3">
        <f>$T37+$U37+$V37</f>
        <v>6885.6964577584258</v>
      </c>
      <c r="S37" s="3">
        <f>$W37+$X37+$Y37</f>
        <v>7184.651736142845</v>
      </c>
      <c r="T37" s="4">
        <v>5565.7318998364617</v>
      </c>
      <c r="U37" s="4">
        <v>803.44025861766079</v>
      </c>
      <c r="V37" s="4">
        <v>516.5242993043031</v>
      </c>
      <c r="W37" s="3">
        <v>1407.9506396176282</v>
      </c>
      <c r="X37" s="3">
        <v>1855.4534543432383</v>
      </c>
      <c r="Y37" s="3">
        <v>3921.2476421819788</v>
      </c>
    </row>
    <row r="38" spans="1:25" x14ac:dyDescent="0.4">
      <c r="A38" s="1" t="s">
        <v>37</v>
      </c>
      <c r="B38" s="3">
        <f>$D38+$E38+$F38+$G38</f>
        <v>30134.440889888388</v>
      </c>
      <c r="C38" s="3">
        <f>$E38+$F38+$G38</f>
        <v>599.54473709633339</v>
      </c>
      <c r="D38" s="4">
        <v>29534.896152792051</v>
      </c>
      <c r="E38" s="4">
        <v>477.90322843109834</v>
      </c>
      <c r="F38" s="4">
        <v>58.899046205746991</v>
      </c>
      <c r="G38" s="4">
        <v>62.742462459488067</v>
      </c>
      <c r="H38" s="3">
        <f>$I38+$J38</f>
        <v>17912.557295987488</v>
      </c>
      <c r="I38" s="3">
        <f>$K38+$L38+$M38</f>
        <v>11099.564270885465</v>
      </c>
      <c r="J38" s="3">
        <f>$N38+$O38+$P38</f>
        <v>6812.9930251020241</v>
      </c>
      <c r="K38" s="4">
        <v>747.61096773093834</v>
      </c>
      <c r="L38" s="4">
        <v>10089.69542259517</v>
      </c>
      <c r="M38" s="4">
        <v>262.25788055935726</v>
      </c>
      <c r="N38" s="3">
        <v>747.97957359853228</v>
      </c>
      <c r="O38" s="3">
        <v>2685.4734816020414</v>
      </c>
      <c r="P38" s="3">
        <v>3379.5399699014506</v>
      </c>
      <c r="Q38" s="3">
        <f>$R38+$S38</f>
        <v>13954.694339237421</v>
      </c>
      <c r="R38" s="3">
        <f>$T38+$U38+$V38</f>
        <v>6968.4274658581999</v>
      </c>
      <c r="S38" s="3">
        <f>$W38+$X38+$Y38</f>
        <v>6986.2668733792216</v>
      </c>
      <c r="T38" s="4">
        <v>5632.6036554695065</v>
      </c>
      <c r="U38" s="4">
        <v>813.09351925021292</v>
      </c>
      <c r="V38" s="4">
        <v>522.73029113848077</v>
      </c>
      <c r="W38" s="3">
        <v>1382.28492738317</v>
      </c>
      <c r="X38" s="3">
        <v>1714.8067942466619</v>
      </c>
      <c r="Y38" s="3">
        <v>3889.1751517493894</v>
      </c>
    </row>
    <row r="39" spans="1:25" x14ac:dyDescent="0.4">
      <c r="A39" s="1" t="s">
        <v>38</v>
      </c>
      <c r="B39" s="3">
        <f>$D39+$E39+$F39+$G39</f>
        <v>30798.433621604618</v>
      </c>
      <c r="C39" s="3">
        <f>$E39+$F39+$G39</f>
        <v>612.75531396501754</v>
      </c>
      <c r="D39" s="4">
        <v>30185.678307639602</v>
      </c>
      <c r="E39" s="4">
        <v>488.43351407009459</v>
      </c>
      <c r="F39" s="4">
        <v>60.196848236603898</v>
      </c>
      <c r="G39" s="4">
        <v>64.124951658318963</v>
      </c>
      <c r="H39" s="3">
        <f>$I39+$J39</f>
        <v>18458.6274879997</v>
      </c>
      <c r="I39" s="3">
        <f>$K39+$L39+$M39</f>
        <v>11344.135923235524</v>
      </c>
      <c r="J39" s="3">
        <f>$N39+$O39+$P39</f>
        <v>7114.4915647641774</v>
      </c>
      <c r="K39" s="4">
        <v>764.0840873265056</v>
      </c>
      <c r="L39" s="4">
        <v>10312.015274166792</v>
      </c>
      <c r="M39" s="4">
        <v>268.0365617422276</v>
      </c>
      <c r="N39" s="3">
        <v>775.11302995216215</v>
      </c>
      <c r="O39" s="3">
        <v>2573.4257294209569</v>
      </c>
      <c r="P39" s="3">
        <v>3765.9528053910576</v>
      </c>
      <c r="Q39" s="3">
        <f>$R39+$S39</f>
        <v>13893.610827046085</v>
      </c>
      <c r="R39" s="3">
        <f>$T39+$U39+$V39</f>
        <v>7121.97221572526</v>
      </c>
      <c r="S39" s="3">
        <f>$W39+$X39+$Y39</f>
        <v>6771.6386113208246</v>
      </c>
      <c r="T39" s="4">
        <v>5756.7143997682333</v>
      </c>
      <c r="U39" s="4">
        <v>831.00950411817428</v>
      </c>
      <c r="V39" s="4">
        <v>534.24831183885249</v>
      </c>
      <c r="W39" s="3">
        <v>1319.9536878787492</v>
      </c>
      <c r="X39" s="3">
        <v>1679.6451292225179</v>
      </c>
      <c r="Y39" s="3">
        <v>3772.0397942195582</v>
      </c>
    </row>
    <row r="40" spans="1:25" x14ac:dyDescent="0.4">
      <c r="A40" s="1" t="s">
        <v>39</v>
      </c>
      <c r="B40" s="3">
        <f>$D40+$E40+$F40+$G40</f>
        <v>31817.803795377218</v>
      </c>
      <c r="C40" s="3">
        <f>$E40+$F40+$G40</f>
        <v>633.03636132446627</v>
      </c>
      <c r="D40" s="4">
        <v>31184.767434052752</v>
      </c>
      <c r="E40" s="4">
        <v>504.59974389305313</v>
      </c>
      <c r="F40" s="4">
        <v>62.18925059061403</v>
      </c>
      <c r="G40" s="4">
        <v>66.247366840799089</v>
      </c>
      <c r="H40" s="3">
        <f>$I40+$J40</f>
        <v>18362.194265358739</v>
      </c>
      <c r="I40" s="3">
        <f>$K40+$L40+$M40</f>
        <v>11719.605466571544</v>
      </c>
      <c r="J40" s="3">
        <f>$N40+$O40+$P40</f>
        <v>6642.5887987871956</v>
      </c>
      <c r="K40" s="4">
        <v>789.3738322026386</v>
      </c>
      <c r="L40" s="4">
        <v>10653.323567020987</v>
      </c>
      <c r="M40" s="4">
        <v>276.90806734791914</v>
      </c>
      <c r="N40" s="3">
        <v>777.82637558752526</v>
      </c>
      <c r="O40" s="3">
        <v>2530.2596669887557</v>
      </c>
      <c r="P40" s="3">
        <v>3334.502756210914</v>
      </c>
      <c r="Q40" s="3">
        <f>$R40+$S40</f>
        <v>14320.726960974418</v>
      </c>
      <c r="R40" s="3">
        <f>$T40+$U40+$V40</f>
        <v>7357.6960887099804</v>
      </c>
      <c r="S40" s="3">
        <f>$W40+$X40+$Y40</f>
        <v>6963.0308722644368</v>
      </c>
      <c r="T40" s="4">
        <v>5947.2508091892141</v>
      </c>
      <c r="U40" s="4">
        <v>858.51435430073002</v>
      </c>
      <c r="V40" s="4">
        <v>551.93092522003633</v>
      </c>
      <c r="W40" s="3">
        <v>1360.2856894484501</v>
      </c>
      <c r="X40" s="3">
        <v>1620.1407917460194</v>
      </c>
      <c r="Y40" s="3">
        <v>3982.6043910699668</v>
      </c>
    </row>
    <row r="41" spans="1:25" x14ac:dyDescent="0.4">
      <c r="A41" s="1" t="s">
        <v>40</v>
      </c>
      <c r="B41" s="3">
        <f>$D41+$E41+$F41+$G41</f>
        <v>30313.28561308905</v>
      </c>
      <c r="C41" s="3">
        <f>$E41+$F41+$G41</f>
        <v>603.10297177353254</v>
      </c>
      <c r="D41" s="4">
        <v>29710.182641315518</v>
      </c>
      <c r="E41" s="4">
        <v>480.73953360489514</v>
      </c>
      <c r="F41" s="4">
        <v>59.248605822729452</v>
      </c>
      <c r="G41" s="4">
        <v>63.114832345907978</v>
      </c>
      <c r="H41" s="3">
        <f>$I41+$J41</f>
        <v>18256.474557889924</v>
      </c>
      <c r="I41" s="3">
        <f>$K41+$L41+$M41</f>
        <v>11165.439012246292</v>
      </c>
      <c r="J41" s="3">
        <f>$N41+$O41+$P41</f>
        <v>7091.0355456436337</v>
      </c>
      <c r="K41" s="4">
        <v>752.04795984485156</v>
      </c>
      <c r="L41" s="4">
        <v>10149.576699026569</v>
      </c>
      <c r="M41" s="4">
        <v>263.81435337487147</v>
      </c>
      <c r="N41" s="3">
        <v>785.06196394849314</v>
      </c>
      <c r="O41" s="3">
        <v>2382.3932834960765</v>
      </c>
      <c r="P41" s="3">
        <v>3923.5802981990637</v>
      </c>
      <c r="Q41" s="3">
        <f>$R41+$S41</f>
        <v>13453.918663848777</v>
      </c>
      <c r="R41" s="3">
        <f>$T41+$U41+$V41</f>
        <v>7009.7843467052417</v>
      </c>
      <c r="S41" s="3">
        <f>$W41+$X41+$Y41</f>
        <v>6444.1343171435365</v>
      </c>
      <c r="T41" s="4">
        <v>5666.0325631217975</v>
      </c>
      <c r="U41" s="4">
        <v>817.9191433896458</v>
      </c>
      <c r="V41" s="4">
        <v>525.83264019379817</v>
      </c>
      <c r="W41" s="3">
        <v>1261.2891187422117</v>
      </c>
      <c r="X41" s="3">
        <v>1416.3835444279121</v>
      </c>
      <c r="Y41" s="3">
        <v>3766.4616539734129</v>
      </c>
    </row>
    <row r="42" spans="1:25" x14ac:dyDescent="0.4">
      <c r="A42" s="1" t="s">
        <v>41</v>
      </c>
      <c r="B42" s="3">
        <f>$D42+$E42+$F42+$G42</f>
        <v>31772.234935545861</v>
      </c>
      <c r="C42" s="3">
        <f>$E42+$F42+$G42</f>
        <v>632.12973856059273</v>
      </c>
      <c r="D42" s="4">
        <v>31140.105196985267</v>
      </c>
      <c r="E42" s="4">
        <v>503.87706563567622</v>
      </c>
      <c r="F42" s="4">
        <v>62.100184316228592</v>
      </c>
      <c r="G42" s="4">
        <v>66.152488608687932</v>
      </c>
      <c r="H42" s="3">
        <f>$I42+$J42</f>
        <v>18415.573189769821</v>
      </c>
      <c r="I42" s="3">
        <f>$K42+$L42+$M42</f>
        <v>11702.820868168099</v>
      </c>
      <c r="J42" s="3">
        <f>$N42+$O42+$P42</f>
        <v>6712.7523216017198</v>
      </c>
      <c r="K42" s="4">
        <v>788.24330585501514</v>
      </c>
      <c r="L42" s="4">
        <v>10638.066077488216</v>
      </c>
      <c r="M42" s="4">
        <v>276.51148482486701</v>
      </c>
      <c r="N42" s="3">
        <v>794.10644939970325</v>
      </c>
      <c r="O42" s="3">
        <v>2475.1543151896494</v>
      </c>
      <c r="P42" s="3">
        <v>3443.4915570123671</v>
      </c>
      <c r="Q42" s="3">
        <f>$R42+$S42</f>
        <v>13731.964788455716</v>
      </c>
      <c r="R42" s="3">
        <f>$T42+$U42+$V42</f>
        <v>7347.1585348327735</v>
      </c>
      <c r="S42" s="3">
        <f>$W42+$X42+$Y42</f>
        <v>6384.8062536229436</v>
      </c>
      <c r="T42" s="4">
        <v>5938.7332684988269</v>
      </c>
      <c r="U42" s="4">
        <v>857.28480619848096</v>
      </c>
      <c r="V42" s="4">
        <v>551.14046013546636</v>
      </c>
      <c r="W42" s="3">
        <v>1154.9595994364959</v>
      </c>
      <c r="X42" s="3">
        <v>1519.1636088548792</v>
      </c>
      <c r="Y42" s="3">
        <v>3710.6830453315688</v>
      </c>
    </row>
    <row r="43" spans="1:25" x14ac:dyDescent="0.4">
      <c r="A43" s="1" t="s">
        <v>42</v>
      </c>
      <c r="B43" s="3">
        <f>$D43+$E43+$F43+$G43</f>
        <v>28529.31322820167</v>
      </c>
      <c r="C43" s="3">
        <f>$E43+$F43+$G43</f>
        <v>567.60965506018624</v>
      </c>
      <c r="D43" s="4">
        <v>27961.703573141484</v>
      </c>
      <c r="E43" s="4">
        <v>452.44744863524556</v>
      </c>
      <c r="F43" s="4">
        <v>55.761755931895202</v>
      </c>
      <c r="G43" s="4">
        <v>59.400450493045454</v>
      </c>
      <c r="H43" s="3">
        <f>$I43+$J43</f>
        <v>17077.928520901209</v>
      </c>
      <c r="I43" s="3">
        <f>$K43+$L43+$M43</f>
        <v>10508.339840707105</v>
      </c>
      <c r="J43" s="3">
        <f>$N43+$O43+$P43</f>
        <v>6569.5886801941033</v>
      </c>
      <c r="K43" s="4">
        <v>707.78905602299722</v>
      </c>
      <c r="L43" s="4">
        <v>9552.2622151904288</v>
      </c>
      <c r="M43" s="4">
        <v>248.28856949367866</v>
      </c>
      <c r="N43" s="3">
        <v>815.81321448260712</v>
      </c>
      <c r="O43" s="3">
        <v>2426.4778702197127</v>
      </c>
      <c r="P43" s="3">
        <v>3327.2975954917838</v>
      </c>
      <c r="Q43" s="3">
        <f>$R43+$S43</f>
        <v>13107.136548578819</v>
      </c>
      <c r="R43" s="3">
        <f>$T43+$U43+$V43</f>
        <v>6597.2503225762866</v>
      </c>
      <c r="S43" s="3">
        <f>$W43+$X43+$Y43</f>
        <v>6509.8862260025326</v>
      </c>
      <c r="T43" s="4">
        <v>5332.5799063066161</v>
      </c>
      <c r="U43" s="4">
        <v>769.78364321648667</v>
      </c>
      <c r="V43" s="4">
        <v>494.88677305318362</v>
      </c>
      <c r="W43" s="3">
        <v>1125.6272168341548</v>
      </c>
      <c r="X43" s="3">
        <v>1575.9632590226024</v>
      </c>
      <c r="Y43" s="3">
        <v>3808.2957501457754</v>
      </c>
    </row>
    <row r="44" spans="1:25" x14ac:dyDescent="0.4">
      <c r="A44" s="1" t="s">
        <v>43</v>
      </c>
      <c r="B44" s="3">
        <f>$D44+$E44+$F44+$G44</f>
        <v>24425.953000604732</v>
      </c>
      <c r="C44" s="3">
        <f>$E44+$F44+$G44</f>
        <v>485.97057511655743</v>
      </c>
      <c r="D44" s="4">
        <v>23939.982425488179</v>
      </c>
      <c r="E44" s="4">
        <v>387.37210486663565</v>
      </c>
      <c r="F44" s="4">
        <v>47.741563869026919</v>
      </c>
      <c r="G44" s="4">
        <v>50.856906380894827</v>
      </c>
      <c r="H44" s="3">
        <f>$I44+$J44</f>
        <v>14774.22447855433</v>
      </c>
      <c r="I44" s="3">
        <f>$K44+$L44+$M44</f>
        <v>8996.9293340635213</v>
      </c>
      <c r="J44" s="3">
        <f>$N44+$O44+$P44</f>
        <v>5777.2951444908085</v>
      </c>
      <c r="K44" s="4">
        <v>605.98802636686855</v>
      </c>
      <c r="L44" s="4">
        <v>8178.3639883434134</v>
      </c>
      <c r="M44" s="4">
        <v>212.57731935323781</v>
      </c>
      <c r="N44" s="3">
        <v>656.6302705413118</v>
      </c>
      <c r="O44" s="3">
        <v>2338.3090783778789</v>
      </c>
      <c r="P44" s="3">
        <v>2782.3557955716183</v>
      </c>
      <c r="Q44" s="3">
        <f>$R44+$S44</f>
        <v>11676.302337081419</v>
      </c>
      <c r="R44" s="3">
        <f>$T44+$U44+$V44</f>
        <v>5648.370327862619</v>
      </c>
      <c r="S44" s="3">
        <f>$W44+$X44+$Y44</f>
        <v>6027.9320092188009</v>
      </c>
      <c r="T44" s="4">
        <v>4565.5969746463143</v>
      </c>
      <c r="U44" s="4">
        <v>659.06595575716233</v>
      </c>
      <c r="V44" s="4">
        <v>423.7073974591421</v>
      </c>
      <c r="W44" s="3">
        <v>1056.8796473051918</v>
      </c>
      <c r="X44" s="3">
        <v>1515.5573591098459</v>
      </c>
      <c r="Y44" s="3">
        <v>3455.4950028037633</v>
      </c>
    </row>
    <row r="45" spans="1:25" x14ac:dyDescent="0.4">
      <c r="A45" s="1" t="s">
        <v>44</v>
      </c>
      <c r="B45" s="3">
        <f>$D45+$E45+$F45+$G45</f>
        <v>20923.490160342153</v>
      </c>
      <c r="C45" s="3">
        <f>$E45+$F45+$G45</f>
        <v>416.28674821471088</v>
      </c>
      <c r="D45" s="4">
        <v>20507.203412127441</v>
      </c>
      <c r="E45" s="4">
        <v>331.82641530373093</v>
      </c>
      <c r="F45" s="4">
        <v>40.895851303251092</v>
      </c>
      <c r="G45" s="4">
        <v>43.564481607728872</v>
      </c>
      <c r="H45" s="3">
        <f>$I45+$J45</f>
        <v>13072.079966145659</v>
      </c>
      <c r="I45" s="3">
        <f>$K45+$L45+$M45</f>
        <v>7706.8502665959895</v>
      </c>
      <c r="J45" s="3">
        <f>$N45+$O45+$P45</f>
        <v>5365.2296995496681</v>
      </c>
      <c r="K45" s="4">
        <v>519.09477213267451</v>
      </c>
      <c r="L45" s="4">
        <v>7005.6598583303348</v>
      </c>
      <c r="M45" s="4">
        <v>182.09563613297965</v>
      </c>
      <c r="N45" s="3">
        <v>622.26101689889106</v>
      </c>
      <c r="O45" s="3">
        <v>2136.2554857720893</v>
      </c>
      <c r="P45" s="3">
        <v>2606.713196878688</v>
      </c>
      <c r="Q45" s="3">
        <f>$R45+$S45</f>
        <v>10505.673056824602</v>
      </c>
      <c r="R45" s="3">
        <f>$T45+$U45+$V45</f>
        <v>4838.4446238014161</v>
      </c>
      <c r="S45" s="3">
        <f>$W45+$X45+$Y45</f>
        <v>5667.228433023186</v>
      </c>
      <c r="T45" s="4">
        <v>3910.9312694057407</v>
      </c>
      <c r="U45" s="4">
        <v>564.56180194730052</v>
      </c>
      <c r="V45" s="4">
        <v>362.95155244837531</v>
      </c>
      <c r="W45" s="3">
        <v>978.96569595873814</v>
      </c>
      <c r="X45" s="3">
        <v>1566.0458288870709</v>
      </c>
      <c r="Y45" s="3">
        <v>3122.2169081773768</v>
      </c>
    </row>
    <row r="46" spans="1:25" x14ac:dyDescent="0.4">
      <c r="A46" s="1" t="s">
        <v>45</v>
      </c>
      <c r="B46" s="3">
        <f>$D46+$E46+$F46+$G46</f>
        <v>21586.364180278561</v>
      </c>
      <c r="C46" s="3">
        <f>$E46+$F46+$G46</f>
        <v>429.47506756873344</v>
      </c>
      <c r="D46" s="4">
        <v>21156.889112709829</v>
      </c>
      <c r="E46" s="4">
        <v>342.33895925064746</v>
      </c>
      <c r="F46" s="4">
        <v>42.191466764360399</v>
      </c>
      <c r="G46" s="4">
        <v>44.94464155372561</v>
      </c>
      <c r="H46" s="3">
        <f>$I46+$J46</f>
        <v>13617.327075101291</v>
      </c>
      <c r="I46" s="3">
        <f>$K46+$L46+$M46</f>
        <v>7951.0098584287753</v>
      </c>
      <c r="J46" s="3">
        <f>$N46+$O46+$P46</f>
        <v>5666.3172166725162</v>
      </c>
      <c r="K46" s="4">
        <v>535.54013739892196</v>
      </c>
      <c r="L46" s="4">
        <v>7227.6051397824913</v>
      </c>
      <c r="M46" s="4">
        <v>187.86458124736262</v>
      </c>
      <c r="N46" s="3">
        <v>628.59236564256094</v>
      </c>
      <c r="O46" s="3">
        <v>2287.7955848250717</v>
      </c>
      <c r="P46" s="3">
        <v>2749.9292662048833</v>
      </c>
      <c r="Q46" s="3">
        <f>$R46+$S46</f>
        <v>11206.310776397717</v>
      </c>
      <c r="R46" s="3">
        <f>$T46+$U46+$V46</f>
        <v>4991.7306775831112</v>
      </c>
      <c r="S46" s="3">
        <f>$W46+$X46+$Y46</f>
        <v>6214.5800988146057</v>
      </c>
      <c r="T46" s="4">
        <v>4034.8329087775351</v>
      </c>
      <c r="U46" s="4">
        <v>582.44760150996922</v>
      </c>
      <c r="V46" s="4">
        <v>374.450167295607</v>
      </c>
      <c r="W46" s="3">
        <v>1118.2940721665334</v>
      </c>
      <c r="X46" s="3">
        <v>1748.1653343982891</v>
      </c>
      <c r="Y46" s="3">
        <v>3348.1206922497831</v>
      </c>
    </row>
    <row r="47" spans="1:25" x14ac:dyDescent="0.4">
      <c r="A47" s="1" t="s">
        <v>46</v>
      </c>
      <c r="B47" s="3">
        <f>$D47+$E47+$F47+$G47</f>
        <v>40860.351111667776</v>
      </c>
      <c r="C47" s="3">
        <f>$E47+$F47+$G47</f>
        <v>812.94385233239586</v>
      </c>
      <c r="D47" s="4">
        <v>40047.407259335385</v>
      </c>
      <c r="E47" s="4">
        <v>648.0058409727003</v>
      </c>
      <c r="F47" s="4">
        <v>79.863293860438375</v>
      </c>
      <c r="G47" s="4">
        <v>85.074717499257133</v>
      </c>
      <c r="H47" s="3">
        <f>$I47+$J47</f>
        <v>20605.030266282745</v>
      </c>
      <c r="I47" s="3">
        <f>$K47+$L47+$M47</f>
        <v>15050.290627661378</v>
      </c>
      <c r="J47" s="3">
        <f>$N47+$O47+$P47</f>
        <v>5554.7396386213668</v>
      </c>
      <c r="K47" s="4">
        <v>1013.7120760939732</v>
      </c>
      <c r="L47" s="4">
        <v>13680.973842636075</v>
      </c>
      <c r="M47" s="4">
        <v>355.60470893133134</v>
      </c>
      <c r="N47" s="3">
        <v>709.99273470345054</v>
      </c>
      <c r="O47" s="3">
        <v>2510.0544222098088</v>
      </c>
      <c r="P47" s="3">
        <v>2334.6924817081076</v>
      </c>
      <c r="Q47" s="3">
        <f>$R47+$S47</f>
        <v>15757.673693740904</v>
      </c>
      <c r="R47" s="3">
        <f>$T47+$U47+$V47</f>
        <v>9448.7365467164655</v>
      </c>
      <c r="S47" s="3">
        <f>$W47+$X47+$Y47</f>
        <v>6308.9371470244387</v>
      </c>
      <c r="T47" s="4">
        <v>7637.4459335853935</v>
      </c>
      <c r="U47" s="4">
        <v>1102.5021769802731</v>
      </c>
      <c r="V47" s="4">
        <v>708.78843615079791</v>
      </c>
      <c r="W47" s="3">
        <v>1125.6272168341548</v>
      </c>
      <c r="X47" s="3">
        <v>1655.3024567701634</v>
      </c>
      <c r="Y47" s="3">
        <v>3528.0074734201203</v>
      </c>
    </row>
    <row r="48" spans="1:25" x14ac:dyDescent="0.4">
      <c r="A48" s="1" t="s">
        <v>47</v>
      </c>
      <c r="B48" s="3">
        <f>$D48+$E48+$F48+$G48</f>
        <v>294450.53400770214</v>
      </c>
      <c r="C48" s="3">
        <f>$E48+$F48+$G48</f>
        <v>5858.289146448361</v>
      </c>
      <c r="D48" s="4">
        <v>288592.24486125383</v>
      </c>
      <c r="E48" s="4">
        <v>4669.7020638189451</v>
      </c>
      <c r="F48" s="4">
        <v>575.51609041619633</v>
      </c>
      <c r="G48" s="4">
        <v>613.07099221321891</v>
      </c>
      <c r="H48" s="3">
        <f>$I48+$J48</f>
        <v>113521.86756925775</v>
      </c>
      <c r="I48" s="3">
        <f>$K48+$L48+$M48</f>
        <v>108456.3884479339</v>
      </c>
      <c r="J48" s="3">
        <f>$N48+$O48+$P48</f>
        <v>5065.4791213238514</v>
      </c>
      <c r="K48" s="4">
        <v>7305.0782485981326</v>
      </c>
      <c r="L48" s="4">
        <v>98588.728293117529</v>
      </c>
      <c r="M48" s="4">
        <v>2562.5819062182354</v>
      </c>
      <c r="N48" s="3">
        <v>746.1706765082904</v>
      </c>
      <c r="O48" s="3">
        <v>2166.56335294051</v>
      </c>
      <c r="P48" s="3">
        <v>2152.7450918750505</v>
      </c>
      <c r="Q48" s="3">
        <f>$R48+$S48</f>
        <v>74326.444603502605</v>
      </c>
      <c r="R48" s="3">
        <f>$T48+$U48+$V48</f>
        <v>68090.103148533497</v>
      </c>
      <c r="S48" s="3">
        <f>$W48+$X48+$Y48</f>
        <v>6236.3414549691061</v>
      </c>
      <c r="T48" s="4">
        <v>55037.462293294091</v>
      </c>
      <c r="U48" s="4">
        <v>7944.9232795211101</v>
      </c>
      <c r="V48" s="4">
        <v>5107.7175757183059</v>
      </c>
      <c r="W48" s="3">
        <v>1085.2952152644539</v>
      </c>
      <c r="X48" s="3">
        <v>1586.7822515943919</v>
      </c>
      <c r="Y48" s="3">
        <v>3564.2639881102609</v>
      </c>
    </row>
    <row r="49" spans="1:25" x14ac:dyDescent="0.4">
      <c r="A49" s="1" t="s">
        <v>48</v>
      </c>
      <c r="B49" s="3">
        <f>$D49+$E49+$F49+$G49</f>
        <v>230748.1766140851</v>
      </c>
      <c r="C49" s="3">
        <f>$E49+$F49+$G49</f>
        <v>4590.8883920912986</v>
      </c>
      <c r="D49" s="4">
        <v>226157.2882219938</v>
      </c>
      <c r="E49" s="4">
        <v>3659.4439884054204</v>
      </c>
      <c r="F49" s="4">
        <v>451.00712390669497</v>
      </c>
      <c r="G49" s="4">
        <v>480.43727977918297</v>
      </c>
      <c r="H49" s="3">
        <f>$I49+$J49</f>
        <v>90311.537758382401</v>
      </c>
      <c r="I49" s="3">
        <f>$K49+$L49+$M49</f>
        <v>84992.591237260393</v>
      </c>
      <c r="J49" s="3">
        <f>$N49+$O49+$P49</f>
        <v>5318.946521122004</v>
      </c>
      <c r="K49" s="4">
        <v>5724.6745758767784</v>
      </c>
      <c r="L49" s="4">
        <v>77259.731808614291</v>
      </c>
      <c r="M49" s="4">
        <v>2008.1848527693173</v>
      </c>
      <c r="N49" s="3">
        <v>718.13277160953953</v>
      </c>
      <c r="O49" s="3">
        <v>2191.360837571196</v>
      </c>
      <c r="P49" s="3">
        <v>2409.4529119412682</v>
      </c>
      <c r="Q49" s="3">
        <f>$R49+$S49</f>
        <v>59555.802405977804</v>
      </c>
      <c r="R49" s="3">
        <f>$T49+$U49+$V49</f>
        <v>53359.275438020086</v>
      </c>
      <c r="S49" s="3">
        <f>$W49+$X49+$Y49</f>
        <v>6196.5269679577177</v>
      </c>
      <c r="T49" s="4">
        <v>43130.484080942013</v>
      </c>
      <c r="U49" s="4">
        <v>6226.0935143705283</v>
      </c>
      <c r="V49" s="4">
        <v>4002.6978427075455</v>
      </c>
      <c r="W49" s="3">
        <v>1044.9634097628973</v>
      </c>
      <c r="X49" s="3">
        <v>1555.2270796519713</v>
      </c>
      <c r="Y49" s="3">
        <v>3596.3364785428489</v>
      </c>
    </row>
    <row r="50" spans="1:25" x14ac:dyDescent="0.4">
      <c r="A50" s="1" t="s">
        <v>49</v>
      </c>
      <c r="B50" s="3">
        <f>$D50+$E50+$F50+$G50</f>
        <v>121256.72233005162</v>
      </c>
      <c r="C50" s="3">
        <f>$E50+$F50+$G50</f>
        <v>2412.4831111410467</v>
      </c>
      <c r="D50" s="4">
        <v>118844.23921891057</v>
      </c>
      <c r="E50" s="4">
        <v>1923.0149078342354</v>
      </c>
      <c r="F50" s="4">
        <v>237.00142031411011</v>
      </c>
      <c r="G50" s="4">
        <v>252.46678299270118</v>
      </c>
      <c r="H50" s="3">
        <f>$I50+$J50</f>
        <v>49428.09495729718</v>
      </c>
      <c r="I50" s="3">
        <f>$K50+$L50+$M50</f>
        <v>44663.074642640437</v>
      </c>
      <c r="J50" s="3">
        <f>$N50+$O50+$P50</f>
        <v>4765.0203146567437</v>
      </c>
      <c r="K50" s="4">
        <v>3008.2806532332293</v>
      </c>
      <c r="L50" s="4">
        <v>40599.50542048856</v>
      </c>
      <c r="M50" s="4">
        <v>1055.2885689186453</v>
      </c>
      <c r="N50" s="3">
        <v>695.52155798151455</v>
      </c>
      <c r="O50" s="3">
        <v>1963.5916176487237</v>
      </c>
      <c r="P50" s="3">
        <v>2105.9071390265058</v>
      </c>
      <c r="Q50" s="3">
        <f>$R50+$S50</f>
        <v>34062.172260953492</v>
      </c>
      <c r="R50" s="3">
        <f>$T50+$U50+$V50</f>
        <v>28039.965214294134</v>
      </c>
      <c r="S50" s="3">
        <f>$W50+$X50+$Y50</f>
        <v>6022.2070466593595</v>
      </c>
      <c r="T50" s="4">
        <v>22664.799388253374</v>
      </c>
      <c r="U50" s="4">
        <v>3271.7731665355191</v>
      </c>
      <c r="V50" s="4">
        <v>2103.3926595052408</v>
      </c>
      <c r="W50" s="3">
        <v>968.88269556631303</v>
      </c>
      <c r="X50" s="3">
        <v>1620.1407917460194</v>
      </c>
      <c r="Y50" s="3">
        <v>3433.1835593470264</v>
      </c>
    </row>
    <row r="51" spans="1:25" x14ac:dyDescent="0.4">
      <c r="A51" s="1" t="s">
        <v>50</v>
      </c>
      <c r="B51" s="3">
        <f>$D51+$E51+$F51+$G51</f>
        <v>98429.930528307901</v>
      </c>
      <c r="C51" s="3">
        <f>$E51+$F51+$G51</f>
        <v>1958.3289113157757</v>
      </c>
      <c r="D51" s="4">
        <v>96471.60161699212</v>
      </c>
      <c r="E51" s="4">
        <v>1561.0039604056944</v>
      </c>
      <c r="F51" s="4">
        <v>192.38548501361447</v>
      </c>
      <c r="G51" s="4">
        <v>204.93946589646683</v>
      </c>
      <c r="H51" s="3">
        <f>$I51+$J51</f>
        <v>41047.611445367875</v>
      </c>
      <c r="I51" s="3">
        <f>$K51+$L51+$M51</f>
        <v>36255.172082663172</v>
      </c>
      <c r="J51" s="3">
        <f>$N51+$O51+$P51</f>
        <v>4792.439362704702</v>
      </c>
      <c r="K51" s="4">
        <v>2441.9665154845966</v>
      </c>
      <c r="L51" s="4">
        <v>32956.576932246091</v>
      </c>
      <c r="M51" s="4">
        <v>856.62863493248688</v>
      </c>
      <c r="N51" s="3">
        <v>726.2728085156283</v>
      </c>
      <c r="O51" s="3">
        <v>2117.8869079705742</v>
      </c>
      <c r="P51" s="3">
        <v>1948.2796462184999</v>
      </c>
      <c r="Q51" s="3">
        <f>$R51+$S51</f>
        <v>29152.619659776741</v>
      </c>
      <c r="R51" s="3">
        <f>$T51+$U51+$V51</f>
        <v>22761.392317258149</v>
      </c>
      <c r="S51" s="3">
        <f>$W51+$X51+$Y51</f>
        <v>6391.227342518594</v>
      </c>
      <c r="T51" s="4">
        <v>18398.110936492976</v>
      </c>
      <c r="U51" s="4">
        <v>2655.8560985171894</v>
      </c>
      <c r="V51" s="4">
        <v>1707.4252822479825</v>
      </c>
      <c r="W51" s="3">
        <v>1017.4642643104255</v>
      </c>
      <c r="X51" s="3">
        <v>1674.235754604968</v>
      </c>
      <c r="Y51" s="3">
        <v>3699.5273236032012</v>
      </c>
    </row>
    <row r="52" spans="1:25" x14ac:dyDescent="0.4">
      <c r="A52" s="1" t="s">
        <v>51</v>
      </c>
      <c r="B52" s="3">
        <f>$D52+$E52+$F52+$G52</f>
        <v>73781.801368230765</v>
      </c>
      <c r="C52" s="3">
        <f>$E52+$F52+$G52</f>
        <v>1467.9379937874683</v>
      </c>
      <c r="D52" s="4">
        <v>72313.863374443303</v>
      </c>
      <c r="E52" s="4">
        <v>1170.1083554920442</v>
      </c>
      <c r="F52" s="4">
        <v>144.20966839271483</v>
      </c>
      <c r="G52" s="4">
        <v>153.61996990270924</v>
      </c>
      <c r="H52" s="3">
        <f>$I52+$J52</f>
        <v>31605.241628727326</v>
      </c>
      <c r="I52" s="3">
        <f>$K52+$L52+$M52</f>
        <v>27176.407529869917</v>
      </c>
      <c r="J52" s="3">
        <f>$N52+$O52+$P52</f>
        <v>4428.8340988574091</v>
      </c>
      <c r="K52" s="4">
        <v>1830.4664793148308</v>
      </c>
      <c r="L52" s="4">
        <v>24703.82331817743</v>
      </c>
      <c r="M52" s="4">
        <v>642.11773237765738</v>
      </c>
      <c r="N52" s="3">
        <v>733.50839687659652</v>
      </c>
      <c r="O52" s="3">
        <v>1991.1442935482773</v>
      </c>
      <c r="P52" s="3">
        <v>1704.1814084325356</v>
      </c>
      <c r="Q52" s="3">
        <f>$R52+$S52</f>
        <v>23489.562922691352</v>
      </c>
      <c r="R52" s="3">
        <f>$T52+$U52+$V52</f>
        <v>17061.644946842007</v>
      </c>
      <c r="S52" s="3">
        <f>$W52+$X52+$Y52</f>
        <v>6427.9179758493447</v>
      </c>
      <c r="T52" s="4">
        <v>13790.985723357846</v>
      </c>
      <c r="U52" s="4">
        <v>1990.79534112893</v>
      </c>
      <c r="V52" s="4">
        <v>1279.8638823552328</v>
      </c>
      <c r="W52" s="3">
        <v>1033.047172220603</v>
      </c>
      <c r="X52" s="3">
        <v>1742.7557164440495</v>
      </c>
      <c r="Y52" s="3">
        <v>3652.1150871846921</v>
      </c>
    </row>
    <row r="53" spans="1:25" x14ac:dyDescent="0.4">
      <c r="A53" s="1" t="s">
        <v>52</v>
      </c>
      <c r="B53" s="3">
        <f>$D53+$E53+$F53+$G53</f>
        <v>49644.550587605088</v>
      </c>
      <c r="C53" s="3">
        <f>$E53+$F53+$G53</f>
        <v>987.71134128785752</v>
      </c>
      <c r="D53" s="4">
        <v>48656.839246317228</v>
      </c>
      <c r="E53" s="4">
        <v>787.31478996142505</v>
      </c>
      <c r="F53" s="4">
        <v>97.032385289884374</v>
      </c>
      <c r="G53" s="4">
        <v>103.36416603654813</v>
      </c>
      <c r="H53" s="3">
        <f>$I53+$J53</f>
        <v>22797.573943690943</v>
      </c>
      <c r="I53" s="3">
        <f>$K53+$L53+$M53</f>
        <v>18285.817279963096</v>
      </c>
      <c r="J53" s="3">
        <f>$N53+$O53+$P53</f>
        <v>4511.7566637278487</v>
      </c>
      <c r="K53" s="4">
        <v>1231.6409202010727</v>
      </c>
      <c r="L53" s="4">
        <v>16622.123391996629</v>
      </c>
      <c r="M53" s="4">
        <v>432.05296776539353</v>
      </c>
      <c r="N53" s="3">
        <v>665.67475599252168</v>
      </c>
      <c r="O53" s="3">
        <v>1961.7549506712919</v>
      </c>
      <c r="P53" s="3">
        <v>1884.3269570640352</v>
      </c>
      <c r="Q53" s="3">
        <f>$R53+$S53</f>
        <v>17879.983159596501</v>
      </c>
      <c r="R53" s="3">
        <f>$T53+$U53+$V53</f>
        <v>11480.035455409288</v>
      </c>
      <c r="S53" s="3">
        <f>$W53+$X53+$Y53</f>
        <v>6399.9477041872142</v>
      </c>
      <c r="T53" s="4">
        <v>9279.3517601886033</v>
      </c>
      <c r="U53" s="4">
        <v>1339.5192064909272</v>
      </c>
      <c r="V53" s="4">
        <v>861.16448872975798</v>
      </c>
      <c r="W53" s="3">
        <v>987.21545920129427</v>
      </c>
      <c r="X53" s="3">
        <v>1870.780259096319</v>
      </c>
      <c r="Y53" s="3">
        <v>3541.9519858896006</v>
      </c>
    </row>
    <row r="54" spans="1:25" x14ac:dyDescent="0.4">
      <c r="A54" s="1" t="s">
        <v>53</v>
      </c>
      <c r="B54" s="3">
        <f>$D54+$E54+$F54+$G54</f>
        <v>28329.02</v>
      </c>
      <c r="C54" s="3">
        <f>$E54+$F54+$G54</f>
        <v>2740.7799999999997</v>
      </c>
      <c r="D54" s="4">
        <v>25588.240000000002</v>
      </c>
      <c r="E54" s="4">
        <v>1407.6</v>
      </c>
      <c r="F54" s="4">
        <v>678.87</v>
      </c>
      <c r="G54" s="4">
        <v>654.30999999999995</v>
      </c>
      <c r="H54" s="3">
        <f>$I54+$J54</f>
        <v>9591.9092689898171</v>
      </c>
      <c r="I54" s="3">
        <f>$K54+$L54+$M54</f>
        <v>5247.6900000000005</v>
      </c>
      <c r="J54" s="3">
        <f>$N54+$O54+$P54</f>
        <v>4344.2192689898175</v>
      </c>
      <c r="K54" s="4">
        <v>1456.88</v>
      </c>
      <c r="L54" s="4">
        <v>2941.98</v>
      </c>
      <c r="M54" s="4">
        <v>848.83</v>
      </c>
      <c r="N54" s="3">
        <v>721.75056579002353</v>
      </c>
      <c r="O54" s="3">
        <v>1902.9755017064435</v>
      </c>
      <c r="P54" s="3">
        <v>1719.4932014933502</v>
      </c>
      <c r="Q54" s="3">
        <f>$R54+$S54</f>
        <v>30024.606805809995</v>
      </c>
      <c r="R54" s="3">
        <f>$T54+$U54+$V54</f>
        <v>23791.85</v>
      </c>
      <c r="S54" s="3">
        <f>$W54+$X54+$Y54</f>
        <v>6232.7568058099969</v>
      </c>
      <c r="T54" s="4">
        <v>6818.25</v>
      </c>
      <c r="U54" s="4">
        <v>11624.68</v>
      </c>
      <c r="V54" s="4">
        <v>5348.92</v>
      </c>
      <c r="W54" s="3">
        <v>917.55107502925216</v>
      </c>
      <c r="X54" s="3">
        <v>1763.4921391513703</v>
      </c>
      <c r="Y54" s="3">
        <v>3551.7135916293751</v>
      </c>
    </row>
    <row r="55" spans="1:25" x14ac:dyDescent="0.4">
      <c r="A55" s="1" t="s">
        <v>54</v>
      </c>
      <c r="B55" s="3">
        <f>$D55+$E55+$F55+$G55</f>
        <v>26148.790000000005</v>
      </c>
      <c r="C55" s="3">
        <f>$E55+$F55+$G55</f>
        <v>2884.52</v>
      </c>
      <c r="D55" s="4">
        <v>23264.27</v>
      </c>
      <c r="E55" s="4">
        <v>1536.15</v>
      </c>
      <c r="F55" s="4">
        <v>715.29</v>
      </c>
      <c r="G55" s="4">
        <v>633.08000000000004</v>
      </c>
      <c r="H55" s="3">
        <f>$I55+$J55</f>
        <v>10464.377816420778</v>
      </c>
      <c r="I55" s="3">
        <f>$K55+$L55+$M55</f>
        <v>5860.8899999999994</v>
      </c>
      <c r="J55" s="3">
        <f>$N55+$O55+$P55</f>
        <v>4603.4878164207785</v>
      </c>
      <c r="K55" s="4">
        <v>1971.13</v>
      </c>
      <c r="L55" s="4">
        <v>2955.18</v>
      </c>
      <c r="M55" s="4">
        <v>934.58</v>
      </c>
      <c r="N55" s="3">
        <v>789.58420667409825</v>
      </c>
      <c r="O55" s="3">
        <v>1974.6127643296334</v>
      </c>
      <c r="P55" s="3">
        <v>1839.2908454170474</v>
      </c>
      <c r="Q55" s="3">
        <f>$R55+$S55</f>
        <v>33526.107567595776</v>
      </c>
      <c r="R55" s="3">
        <f>$T55+$U55+$V55</f>
        <v>26908.6</v>
      </c>
      <c r="S55" s="3">
        <f>$W55+$X55+$Y55</f>
        <v>6617.5075675957778</v>
      </c>
      <c r="T55" s="4">
        <v>6778.12</v>
      </c>
      <c r="U55" s="4">
        <v>12097.88</v>
      </c>
      <c r="V55" s="4">
        <v>8032.6</v>
      </c>
      <c r="W55" s="3">
        <v>956.96645802401861</v>
      </c>
      <c r="X55" s="3">
        <v>1764.3937015876288</v>
      </c>
      <c r="Y55" s="3">
        <v>3896.14740798413</v>
      </c>
    </row>
    <row r="56" spans="1:25" x14ac:dyDescent="0.4">
      <c r="A56" s="1" t="s">
        <v>55</v>
      </c>
      <c r="B56" s="3">
        <f>$D56+$E56+$F56+$G56</f>
        <v>24293.89</v>
      </c>
      <c r="C56" s="3">
        <f>$E56+$F56+$G56</f>
        <v>2786.75</v>
      </c>
      <c r="D56" s="4">
        <v>21507.14</v>
      </c>
      <c r="E56" s="4">
        <v>1465.86</v>
      </c>
      <c r="F56" s="4">
        <v>653.66</v>
      </c>
      <c r="G56" s="4">
        <v>667.23</v>
      </c>
      <c r="H56" s="3">
        <f>$I56+$J56</f>
        <v>13160.175477631412</v>
      </c>
      <c r="I56" s="3">
        <f>$K56+$L56+$M56</f>
        <v>8549.77</v>
      </c>
      <c r="J56" s="3">
        <f>$N56+$O56+$P56</f>
        <v>4610.4054776314106</v>
      </c>
      <c r="K56" s="4">
        <v>2237.42</v>
      </c>
      <c r="L56" s="4">
        <v>3107.79</v>
      </c>
      <c r="M56" s="4">
        <v>3204.56</v>
      </c>
      <c r="N56" s="3">
        <v>737.12619105708029</v>
      </c>
      <c r="O56" s="3">
        <v>1924.099270776826</v>
      </c>
      <c r="P56" s="3">
        <v>1949.1800157975042</v>
      </c>
      <c r="Q56" s="3">
        <f>$R56+$S56</f>
        <v>33116.116968683782</v>
      </c>
      <c r="R56" s="3">
        <f>$T56+$U56+$V56</f>
        <v>26699.18</v>
      </c>
      <c r="S56" s="3">
        <f>$W56+$X56+$Y56</f>
        <v>6416.9369686837836</v>
      </c>
      <c r="T56" s="4">
        <v>6528.19</v>
      </c>
      <c r="U56" s="4">
        <v>11953.91</v>
      </c>
      <c r="V56" s="4">
        <v>8217.08</v>
      </c>
      <c r="W56" s="3">
        <v>983.54878883341132</v>
      </c>
      <c r="X56" s="3">
        <v>1685.0545038400678</v>
      </c>
      <c r="Y56" s="3">
        <v>3748.3336760103039</v>
      </c>
    </row>
    <row r="57" spans="1:25" x14ac:dyDescent="0.4">
      <c r="A57" s="1" t="s">
        <v>56</v>
      </c>
      <c r="B57" s="3">
        <f>$D57+$E57+$F57+$G57</f>
        <v>25302.589999999997</v>
      </c>
      <c r="C57" s="3">
        <f>$E57+$F57+$G57</f>
        <v>2595.9</v>
      </c>
      <c r="D57" s="4">
        <v>22706.69</v>
      </c>
      <c r="E57" s="4">
        <v>1348.41</v>
      </c>
      <c r="F57" s="4">
        <v>611.64</v>
      </c>
      <c r="G57" s="4">
        <v>635.85</v>
      </c>
      <c r="H57" s="3">
        <f>$I57+$J57</f>
        <v>10547.525867930795</v>
      </c>
      <c r="I57" s="3">
        <f>$K57+$L57+$M57</f>
        <v>5833.16</v>
      </c>
      <c r="J57" s="3">
        <f>$N57+$O57+$P57</f>
        <v>4714.3658679307964</v>
      </c>
      <c r="K57" s="4">
        <v>1445.3</v>
      </c>
      <c r="L57" s="4">
        <v>2998.51</v>
      </c>
      <c r="M57" s="4">
        <v>1389.35</v>
      </c>
      <c r="N57" s="3">
        <v>733.50839687659652</v>
      </c>
      <c r="O57" s="3">
        <v>1991.1442935482773</v>
      </c>
      <c r="P57" s="3">
        <v>1989.7131775059224</v>
      </c>
      <c r="Q57" s="3">
        <f>$R57+$S57</f>
        <v>31121.467482481145</v>
      </c>
      <c r="R57" s="3">
        <f>$T57+$U57+$V57</f>
        <v>25088.720000000001</v>
      </c>
      <c r="S57" s="3">
        <f>$W57+$X57+$Y57</f>
        <v>6032.7474824811416</v>
      </c>
      <c r="T57" s="4">
        <v>6977.87</v>
      </c>
      <c r="U57" s="4">
        <v>12594.93</v>
      </c>
      <c r="V57" s="4">
        <v>5515.92</v>
      </c>
      <c r="W57" s="3">
        <v>961.54955089869179</v>
      </c>
      <c r="X57" s="3">
        <v>1732.8382863085183</v>
      </c>
      <c r="Y57" s="3">
        <v>3338.3596452739316</v>
      </c>
    </row>
    <row r="58" spans="1:25" x14ac:dyDescent="0.4">
      <c r="A58" s="1" t="s">
        <v>57</v>
      </c>
      <c r="B58" s="3">
        <f>$D58+$E58+$F58+$G58</f>
        <v>42435.75</v>
      </c>
      <c r="C58" s="3">
        <f>$E58+$F58+$G58</f>
        <v>2502.08</v>
      </c>
      <c r="D58" s="4">
        <v>39933.67</v>
      </c>
      <c r="E58" s="4">
        <v>1291.99</v>
      </c>
      <c r="F58" s="4">
        <v>570.54999999999995</v>
      </c>
      <c r="G58" s="4">
        <v>639.54</v>
      </c>
      <c r="H58" s="3">
        <f>$I58+$J58</f>
        <v>9606.021569027198</v>
      </c>
      <c r="I58" s="3">
        <f>$K58+$L58+$M58</f>
        <v>4818.5</v>
      </c>
      <c r="J58" s="3">
        <f>$N58+$O58+$P58</f>
        <v>4787.5215690271971</v>
      </c>
      <c r="K58" s="4">
        <v>1309.26</v>
      </c>
      <c r="L58" s="4">
        <v>2656.55</v>
      </c>
      <c r="M58" s="4">
        <v>852.69</v>
      </c>
      <c r="N58" s="3">
        <v>738.0306396022014</v>
      </c>
      <c r="O58" s="3">
        <v>2047.1681696388198</v>
      </c>
      <c r="P58" s="3">
        <v>2002.322759786176</v>
      </c>
      <c r="Q58" s="3">
        <f>$R58+$S58</f>
        <v>31021.721175429295</v>
      </c>
      <c r="R58" s="3">
        <f>$T58+$U58+$V58</f>
        <v>25031.67</v>
      </c>
      <c r="S58" s="3">
        <f>$W58+$X58+$Y58</f>
        <v>5990.0511754292984</v>
      </c>
      <c r="T58" s="4">
        <v>7437.58</v>
      </c>
      <c r="U58" s="4">
        <v>12598.6</v>
      </c>
      <c r="V58" s="4">
        <v>4995.49</v>
      </c>
      <c r="W58" s="3">
        <v>930.38412721462578</v>
      </c>
      <c r="X58" s="3">
        <v>1894.221369112415</v>
      </c>
      <c r="Y58" s="3">
        <v>3165.4456791022576</v>
      </c>
    </row>
    <row r="59" spans="1:25" x14ac:dyDescent="0.4">
      <c r="A59" s="1" t="s">
        <v>58</v>
      </c>
      <c r="B59" s="3">
        <f>$D59+$E59+$F59+$G59</f>
        <v>63540.530000000006</v>
      </c>
      <c r="C59" s="3">
        <f>$E59+$F59+$G59</f>
        <v>3271.3700000000003</v>
      </c>
      <c r="D59" s="4">
        <v>60269.16</v>
      </c>
      <c r="E59" s="4">
        <v>1753.79</v>
      </c>
      <c r="F59" s="4">
        <v>703.26</v>
      </c>
      <c r="G59" s="4">
        <v>814.32</v>
      </c>
      <c r="H59" s="3">
        <f>$I59+$J59</f>
        <v>10547.780036610202</v>
      </c>
      <c r="I59" s="3">
        <f>$K59+$L59+$M59</f>
        <v>5803.52</v>
      </c>
      <c r="J59" s="3">
        <f>$N59+$O59+$P59</f>
        <v>4744.2600366102015</v>
      </c>
      <c r="K59" s="4">
        <v>1666.76</v>
      </c>
      <c r="L59" s="4">
        <v>3347.49</v>
      </c>
      <c r="M59" s="4">
        <v>789.27</v>
      </c>
      <c r="N59" s="3">
        <v>701.85269779736154</v>
      </c>
      <c r="O59" s="3">
        <v>2006.7576800809252</v>
      </c>
      <c r="P59" s="3">
        <v>2035.6496587319143</v>
      </c>
      <c r="Q59" s="3">
        <f>$R59+$S59</f>
        <v>35395.040500156319</v>
      </c>
      <c r="R59" s="3">
        <f>$T59+$U59+$V59</f>
        <v>29592.33</v>
      </c>
      <c r="S59" s="3">
        <f>$W59+$X59+$Y59</f>
        <v>5802.7105001563204</v>
      </c>
      <c r="T59" s="4">
        <v>8851.26</v>
      </c>
      <c r="U59" s="4">
        <v>15101.47</v>
      </c>
      <c r="V59" s="4">
        <v>5639.6</v>
      </c>
      <c r="W59" s="3">
        <v>863.46979483553196</v>
      </c>
      <c r="X59" s="3">
        <v>1701.2831143660972</v>
      </c>
      <c r="Y59" s="3">
        <v>3237.9575909546911</v>
      </c>
    </row>
    <row r="60" spans="1:25" x14ac:dyDescent="0.4">
      <c r="A60" s="1" t="s">
        <v>59</v>
      </c>
      <c r="B60" s="3">
        <f>$D60+$E60+$F60+$G60</f>
        <v>78347.25999999998</v>
      </c>
      <c r="C60" s="3">
        <f>$E60+$F60+$G60</f>
        <v>3123.78</v>
      </c>
      <c r="D60" s="4">
        <v>75223.48</v>
      </c>
      <c r="E60" s="4">
        <v>1692.09</v>
      </c>
      <c r="F60" s="4">
        <v>657.29</v>
      </c>
      <c r="G60" s="4">
        <v>774.4</v>
      </c>
      <c r="H60" s="3">
        <f>$I60+$J60</f>
        <v>10637.445937251456</v>
      </c>
      <c r="I60" s="3">
        <f>$K60+$L60+$M60</f>
        <v>5892.25</v>
      </c>
      <c r="J60" s="3">
        <f>$N60+$O60+$P60</f>
        <v>4745.1959372514557</v>
      </c>
      <c r="K60" s="4">
        <v>1717.79</v>
      </c>
      <c r="L60" s="4">
        <v>3436.19</v>
      </c>
      <c r="M60" s="4">
        <v>738.27</v>
      </c>
      <c r="N60" s="3">
        <v>645.77688799985981</v>
      </c>
      <c r="O60" s="3">
        <v>2020.5340180307016</v>
      </c>
      <c r="P60" s="3">
        <v>2078.8850312208938</v>
      </c>
      <c r="Q60" s="3">
        <f>$R60+$S60</f>
        <v>31778.502219479804</v>
      </c>
      <c r="R60" s="3">
        <f>$T60+$U60+$V60</f>
        <v>25849.31</v>
      </c>
      <c r="S60" s="3">
        <f>$W60+$X60+$Y60</f>
        <v>5929.1922194798026</v>
      </c>
      <c r="T60" s="4">
        <v>7577.89</v>
      </c>
      <c r="U60" s="4">
        <v>13641.69</v>
      </c>
      <c r="V60" s="4">
        <v>4629.7299999999996</v>
      </c>
      <c r="W60" s="3">
        <v>843.30379405068152</v>
      </c>
      <c r="X60" s="3">
        <v>1723.8226619459349</v>
      </c>
      <c r="Y60" s="3">
        <v>3362.0657634831864</v>
      </c>
    </row>
    <row r="61" spans="1:25" x14ac:dyDescent="0.4">
      <c r="A61" s="1" t="s">
        <v>60</v>
      </c>
      <c r="B61" s="3">
        <f>$D61+$E61+$F61+$G61</f>
        <v>82582.98</v>
      </c>
      <c r="C61" s="3">
        <f>$E61+$F61+$G61</f>
        <v>3456.8</v>
      </c>
      <c r="D61" s="4">
        <v>79126.179999999993</v>
      </c>
      <c r="E61" s="4">
        <v>1824.63</v>
      </c>
      <c r="F61" s="4">
        <v>775.65</v>
      </c>
      <c r="G61" s="4">
        <v>856.52</v>
      </c>
      <c r="H61" s="3">
        <f>$I61+$J61</f>
        <v>11774.682635485562</v>
      </c>
      <c r="I61" s="3">
        <f>$K61+$L61+$M61</f>
        <v>7059.47</v>
      </c>
      <c r="J61" s="3">
        <f>$N61+$O61+$P61</f>
        <v>4715.2126354855609</v>
      </c>
      <c r="K61" s="4">
        <v>2052.2800000000002</v>
      </c>
      <c r="L61" s="4">
        <v>4237.9799999999996</v>
      </c>
      <c r="M61" s="4">
        <v>769.21</v>
      </c>
      <c r="N61" s="3">
        <v>702.75714634248266</v>
      </c>
      <c r="O61" s="3">
        <v>2041.6577871010848</v>
      </c>
      <c r="P61" s="3">
        <v>1970.7977020419939</v>
      </c>
      <c r="Q61" s="3">
        <f>$R61+$S61</f>
        <v>34057.818563330904</v>
      </c>
      <c r="R61" s="3">
        <f>$T61+$U61+$V61</f>
        <v>27682.9</v>
      </c>
      <c r="S61" s="3">
        <f>$W61+$X61+$Y61</f>
        <v>6374.9185633308998</v>
      </c>
      <c r="T61" s="4">
        <v>8037.69</v>
      </c>
      <c r="U61" s="4">
        <v>14822.28</v>
      </c>
      <c r="V61" s="4">
        <v>4822.93</v>
      </c>
      <c r="W61" s="3">
        <v>931.30074578956021</v>
      </c>
      <c r="X61" s="3">
        <v>1714.8067942466619</v>
      </c>
      <c r="Y61" s="3">
        <v>3728.8110232946779</v>
      </c>
    </row>
    <row r="62" spans="1:25" x14ac:dyDescent="0.4">
      <c r="A62" s="1" t="s">
        <v>61</v>
      </c>
      <c r="B62" s="3">
        <f>$D62+$E62+$F62+$G62</f>
        <v>78409.219999999987</v>
      </c>
      <c r="C62" s="3">
        <f>$E62+$F62+$G62</f>
        <v>3528.04</v>
      </c>
      <c r="D62" s="4">
        <v>74881.179999999993</v>
      </c>
      <c r="E62" s="4">
        <v>1799.49</v>
      </c>
      <c r="F62" s="4">
        <v>853.79</v>
      </c>
      <c r="G62" s="4">
        <v>874.76</v>
      </c>
      <c r="H62" s="3">
        <f>$I62+$J62</f>
        <v>12804.45180392401</v>
      </c>
      <c r="I62" s="3">
        <f>$K62+$L62+$M62</f>
        <v>8214.75</v>
      </c>
      <c r="J62" s="3">
        <f>$N62+$O62+$P62</f>
        <v>4589.7018039240102</v>
      </c>
      <c r="K62" s="4">
        <v>2263.17</v>
      </c>
      <c r="L62" s="4">
        <v>5218.33</v>
      </c>
      <c r="M62" s="4">
        <v>733.25</v>
      </c>
      <c r="N62" s="3">
        <v>675.62368998885268</v>
      </c>
      <c r="O62" s="3">
        <v>1937.8759903320415</v>
      </c>
      <c r="P62" s="3">
        <v>1976.2021236031162</v>
      </c>
      <c r="Q62" s="3">
        <f>$R62+$S62</f>
        <v>32547.159307699592</v>
      </c>
      <c r="R62" s="3">
        <f>$T62+$U62+$V62</f>
        <v>26075.46</v>
      </c>
      <c r="S62" s="3">
        <f>$W62+$X62+$Y62</f>
        <v>6471.6993076995914</v>
      </c>
      <c r="T62" s="4">
        <v>7383.16</v>
      </c>
      <c r="U62" s="4">
        <v>13934.56</v>
      </c>
      <c r="V62" s="4">
        <v>4757.74</v>
      </c>
      <c r="W62" s="3">
        <v>886.38565134518615</v>
      </c>
      <c r="X62" s="3">
        <v>1672.4323863957613</v>
      </c>
      <c r="Y62" s="3">
        <v>3912.8812699586442</v>
      </c>
    </row>
    <row r="63" spans="1:25" x14ac:dyDescent="0.4">
      <c r="A63" s="1" t="s">
        <v>62</v>
      </c>
      <c r="B63" s="3">
        <f>$D63+$E63+$F63+$G63</f>
        <v>75323.930000000008</v>
      </c>
      <c r="C63" s="3">
        <f>$E63+$F63+$G63</f>
        <v>3461.07</v>
      </c>
      <c r="D63" s="4">
        <v>71862.86</v>
      </c>
      <c r="E63" s="4">
        <v>1814.36</v>
      </c>
      <c r="F63" s="4">
        <v>833.35</v>
      </c>
      <c r="G63" s="4">
        <v>813.36</v>
      </c>
      <c r="H63" s="3">
        <f>$I63+$J63</f>
        <v>14678.485886911527</v>
      </c>
      <c r="I63" s="3">
        <f>$K63+$L63+$M63</f>
        <v>9806.66</v>
      </c>
      <c r="J63" s="3">
        <f>$N63+$O63+$P63</f>
        <v>4871.825886911527</v>
      </c>
      <c r="K63" s="4">
        <v>2728.37</v>
      </c>
      <c r="L63" s="4">
        <v>6090.43</v>
      </c>
      <c r="M63" s="4">
        <v>987.86</v>
      </c>
      <c r="N63" s="3">
        <v>683.76372689494167</v>
      </c>
      <c r="O63" s="3">
        <v>2039.8211201236527</v>
      </c>
      <c r="P63" s="3">
        <v>2148.2410398929323</v>
      </c>
      <c r="Q63" s="3">
        <f>$R63+$S63</f>
        <v>30818.99991126934</v>
      </c>
      <c r="R63" s="3">
        <f>$T63+$U63+$V63</f>
        <v>24355.43</v>
      </c>
      <c r="S63" s="3">
        <f>$W63+$X63+$Y63</f>
        <v>6463.5699112693383</v>
      </c>
      <c r="T63" s="4">
        <v>6898.2</v>
      </c>
      <c r="U63" s="4">
        <v>12792.63</v>
      </c>
      <c r="V63" s="4">
        <v>4664.6000000000004</v>
      </c>
      <c r="W63" s="3">
        <v>896.46865173761148</v>
      </c>
      <c r="X63" s="3">
        <v>1675.1373170412264</v>
      </c>
      <c r="Y63" s="3">
        <v>3891.9639424905008</v>
      </c>
    </row>
    <row r="64" spans="1:25" x14ac:dyDescent="0.4">
      <c r="A64" s="1" t="s">
        <v>63</v>
      </c>
      <c r="B64" s="3">
        <f>$D64+$E64+$F64+$G64</f>
        <v>68718.33</v>
      </c>
      <c r="C64" s="3">
        <f>$E64+$F64+$G64</f>
        <v>3531.2999999999997</v>
      </c>
      <c r="D64" s="4">
        <v>65187.03</v>
      </c>
      <c r="E64" s="4">
        <v>1767.35</v>
      </c>
      <c r="F64" s="4">
        <v>876.55</v>
      </c>
      <c r="G64" s="4">
        <v>887.4</v>
      </c>
      <c r="H64" s="3">
        <f>$I64+$J64</f>
        <v>17232.349345291903</v>
      </c>
      <c r="I64" s="3">
        <f>$K64+$L64+$M64</f>
        <v>12162.23</v>
      </c>
      <c r="J64" s="3">
        <f>$N64+$O64+$P64</f>
        <v>5070.1193452919033</v>
      </c>
      <c r="K64" s="4">
        <v>2891.88</v>
      </c>
      <c r="L64" s="4">
        <v>8346.1200000000008</v>
      </c>
      <c r="M64" s="4">
        <v>924.23</v>
      </c>
      <c r="N64" s="3">
        <v>655.7258219961908</v>
      </c>
      <c r="O64" s="3">
        <v>2052.6789337819937</v>
      </c>
      <c r="P64" s="3">
        <v>2361.7145895137191</v>
      </c>
      <c r="Q64" s="3">
        <f>$R64+$S64</f>
        <v>29012.7924265892</v>
      </c>
      <c r="R64" s="3">
        <f>$T64+$U64+$V64</f>
        <v>22844.06</v>
      </c>
      <c r="S64" s="3">
        <f>$W64+$X64+$Y64</f>
        <v>6168.7324265891966</v>
      </c>
      <c r="T64" s="4">
        <v>6960.37</v>
      </c>
      <c r="U64" s="4">
        <v>12056.42</v>
      </c>
      <c r="V64" s="4">
        <v>3827.27</v>
      </c>
      <c r="W64" s="3">
        <v>840.55393832587754</v>
      </c>
      <c r="X64" s="3">
        <v>1645.3850266346321</v>
      </c>
      <c r="Y64" s="3">
        <v>3682.7934616286866</v>
      </c>
    </row>
    <row r="65" spans="1:25" x14ac:dyDescent="0.4">
      <c r="A65" s="1" t="s">
        <v>64</v>
      </c>
      <c r="B65" s="3">
        <f>$D65+$E65+$F65+$G65</f>
        <v>68722.489999999991</v>
      </c>
      <c r="C65" s="3">
        <f>$E65+$F65+$G65</f>
        <v>3481.9800000000005</v>
      </c>
      <c r="D65" s="4">
        <v>65240.51</v>
      </c>
      <c r="E65" s="4">
        <v>1779.66</v>
      </c>
      <c r="F65" s="4">
        <v>882.23</v>
      </c>
      <c r="G65" s="4">
        <v>820.09</v>
      </c>
      <c r="H65" s="3">
        <f>$I65+$J65</f>
        <v>20443.344465739039</v>
      </c>
      <c r="I65" s="3">
        <f>$K65+$L65+$M65</f>
        <v>15636.82</v>
      </c>
      <c r="J65" s="3">
        <f>$N65+$O65+$P65</f>
        <v>4806.5244657390385</v>
      </c>
      <c r="K65" s="4">
        <v>4470.8999999999996</v>
      </c>
      <c r="L65" s="4">
        <v>10278.52</v>
      </c>
      <c r="M65" s="4">
        <v>887.4</v>
      </c>
      <c r="N65" s="3">
        <v>596.93645763550319</v>
      </c>
      <c r="O65" s="3">
        <v>1941.5493242869059</v>
      </c>
      <c r="P65" s="3">
        <v>2268.0386838166296</v>
      </c>
      <c r="Q65" s="3">
        <f>$R65+$S65</f>
        <v>29085.723929265601</v>
      </c>
      <c r="R65" s="3">
        <f>$T65+$U65+$V65</f>
        <v>23017.08</v>
      </c>
      <c r="S65" s="3">
        <f>$W65+$X65+$Y65</f>
        <v>6068.6439292655987</v>
      </c>
      <c r="T65" s="4">
        <v>7559.11</v>
      </c>
      <c r="U65" s="4">
        <v>11625.95</v>
      </c>
      <c r="V65" s="4">
        <v>3832.02</v>
      </c>
      <c r="W65" s="3">
        <v>931.30074578956021</v>
      </c>
      <c r="X65" s="3">
        <v>1489.411561784975</v>
      </c>
      <c r="Y65" s="3">
        <v>3647.9316216910634</v>
      </c>
    </row>
    <row r="66" spans="1:25" x14ac:dyDescent="0.4">
      <c r="A66" s="1" t="s">
        <v>65</v>
      </c>
      <c r="B66" s="3">
        <f>$D66+$E66+$F66+$G66</f>
        <v>51425.250000000007</v>
      </c>
      <c r="C66" s="3">
        <f>$E66+$F66+$G66</f>
        <v>3415.6499999999996</v>
      </c>
      <c r="D66" s="4">
        <v>48009.599999999999</v>
      </c>
      <c r="E66" s="4">
        <v>1788.62</v>
      </c>
      <c r="F66" s="4">
        <v>787.87</v>
      </c>
      <c r="G66" s="4">
        <v>839.16</v>
      </c>
      <c r="H66" s="3">
        <f>$I66+$J66</f>
        <v>24566.767263013964</v>
      </c>
      <c r="I66" s="3">
        <f>$K66+$L66+$M66</f>
        <v>19764.3</v>
      </c>
      <c r="J66" s="3">
        <f>$N66+$O66+$P66</f>
        <v>4802.4672630139657</v>
      </c>
      <c r="K66" s="4">
        <v>5068.8500000000004</v>
      </c>
      <c r="L66" s="4">
        <v>13854.93</v>
      </c>
      <c r="M66" s="4">
        <v>840.52</v>
      </c>
      <c r="N66" s="3">
        <v>659.34361617667469</v>
      </c>
      <c r="O66" s="3">
        <v>1811.1333759097449</v>
      </c>
      <c r="P66" s="3">
        <v>2331.9902709275461</v>
      </c>
      <c r="Q66" s="3">
        <f>$R66+$S66</f>
        <v>26688.221798985775</v>
      </c>
      <c r="R66" s="3">
        <f>$T66+$U66+$V66</f>
        <v>21013.42</v>
      </c>
      <c r="S66" s="3">
        <f>$W66+$X66+$Y66</f>
        <v>5674.8017989857781</v>
      </c>
      <c r="T66" s="4">
        <v>6762.32</v>
      </c>
      <c r="U66" s="4">
        <v>10935</v>
      </c>
      <c r="V66" s="4">
        <v>3316.1</v>
      </c>
      <c r="W66" s="3">
        <v>923.05098254700431</v>
      </c>
      <c r="X66" s="3">
        <v>1363.1901440052218</v>
      </c>
      <c r="Y66" s="3">
        <v>3388.5606724335521</v>
      </c>
    </row>
    <row r="67" spans="1:25" x14ac:dyDescent="0.4">
      <c r="A67" s="1" t="s">
        <v>66</v>
      </c>
      <c r="B67" s="3">
        <f>$D67+$E67+$F67+$G67</f>
        <v>30856.71</v>
      </c>
      <c r="C67" s="3">
        <f>$E67+$F67+$G67</f>
        <v>2541.3999999999996</v>
      </c>
      <c r="D67" s="4">
        <v>28315.31</v>
      </c>
      <c r="E67" s="4">
        <v>1363.33</v>
      </c>
      <c r="F67" s="4">
        <v>541.03</v>
      </c>
      <c r="G67" s="4">
        <v>637.04</v>
      </c>
      <c r="H67" s="3">
        <f>$I67+$J67</f>
        <v>21441.014408809202</v>
      </c>
      <c r="I67" s="3">
        <f>$K67+$L67+$M67</f>
        <v>17189.73</v>
      </c>
      <c r="J67" s="3">
        <f>$N67+$O67+$P67</f>
        <v>4251.2844088092024</v>
      </c>
      <c r="K67" s="4">
        <v>3798.64</v>
      </c>
      <c r="L67" s="4">
        <v>12553.93</v>
      </c>
      <c r="M67" s="4">
        <v>837.16</v>
      </c>
      <c r="N67" s="3">
        <v>565.28075855626832</v>
      </c>
      <c r="O67" s="3">
        <v>1600.8138278919137</v>
      </c>
      <c r="P67" s="3">
        <v>2085.1898223610201</v>
      </c>
      <c r="Q67" s="3">
        <f>$R67+$S67</f>
        <v>26525.810752733636</v>
      </c>
      <c r="R67" s="3">
        <f>$T67+$U67+$V67</f>
        <v>21260.85</v>
      </c>
      <c r="S67" s="3">
        <f>$W67+$X67+$Y67</f>
        <v>5264.9607527336366</v>
      </c>
      <c r="T67" s="4">
        <v>6554.34</v>
      </c>
      <c r="U67" s="4">
        <v>7849.87</v>
      </c>
      <c r="V67" s="4">
        <v>6856.64</v>
      </c>
      <c r="W67" s="3">
        <v>853.38679444310685</v>
      </c>
      <c r="X67" s="3">
        <v>1271.2290721500444</v>
      </c>
      <c r="Y67" s="3">
        <v>3140.3448861404854</v>
      </c>
    </row>
    <row r="68" spans="1:25" x14ac:dyDescent="0.4">
      <c r="A68" s="1" t="s">
        <v>67</v>
      </c>
      <c r="B68" s="3">
        <f>$D68+$E68+$F68+$G68</f>
        <v>23205.649999999998</v>
      </c>
      <c r="C68" s="3">
        <f>$E68+$F68+$G68</f>
        <v>2479.38</v>
      </c>
      <c r="D68" s="4">
        <v>20726.27</v>
      </c>
      <c r="E68" s="4">
        <v>1500.12</v>
      </c>
      <c r="F68" s="4">
        <v>404.17</v>
      </c>
      <c r="G68" s="4">
        <v>575.09</v>
      </c>
      <c r="H68" s="3">
        <f>$I68+$J68</f>
        <v>19293.039243896059</v>
      </c>
      <c r="I68" s="3">
        <f>$K68+$L68+$M68</f>
        <v>15249.060000000001</v>
      </c>
      <c r="J68" s="3">
        <f>$N68+$O68+$P68</f>
        <v>4043.9792438960567</v>
      </c>
      <c r="K68" s="4">
        <v>4207.38</v>
      </c>
      <c r="L68" s="4">
        <v>10395.61</v>
      </c>
      <c r="M68" s="4">
        <v>646.07000000000005</v>
      </c>
      <c r="N68" s="3">
        <v>501.9693603977986</v>
      </c>
      <c r="O68" s="3">
        <v>1560.4033383340191</v>
      </c>
      <c r="P68" s="3">
        <v>1981.6065451642389</v>
      </c>
      <c r="Q68" s="3">
        <f>$R68+$S68</f>
        <v>22504.095750645316</v>
      </c>
      <c r="R68" s="3">
        <f>$T68+$U68+$V68</f>
        <v>17752.580000000002</v>
      </c>
      <c r="S68" s="3">
        <f>$W68+$X68+$Y68</f>
        <v>4751.5157506453133</v>
      </c>
      <c r="T68" s="4">
        <v>6689.38</v>
      </c>
      <c r="U68" s="4">
        <v>8252.64</v>
      </c>
      <c r="V68" s="4">
        <v>2810.56</v>
      </c>
      <c r="W68" s="3">
        <v>791.0555549386861</v>
      </c>
      <c r="X68" s="3">
        <v>1428.1040994359598</v>
      </c>
      <c r="Y68" s="3">
        <v>2532.3560962706674</v>
      </c>
    </row>
    <row r="69" spans="1:25" x14ac:dyDescent="0.4">
      <c r="A69" s="1" t="s">
        <v>68</v>
      </c>
      <c r="B69" s="3">
        <f>$D69+$E69+$F69+$G69</f>
        <v>23366.87</v>
      </c>
      <c r="C69" s="3">
        <f>$E69+$F69+$G69</f>
        <v>2505.4500000000003</v>
      </c>
      <c r="D69" s="4">
        <v>20861.419999999998</v>
      </c>
      <c r="E69" s="4">
        <v>1300.9000000000001</v>
      </c>
      <c r="F69" s="4">
        <v>590.63</v>
      </c>
      <c r="G69" s="4">
        <v>613.91999999999996</v>
      </c>
      <c r="H69" s="3">
        <f>$I69+$J69</f>
        <v>30433.575103753508</v>
      </c>
      <c r="I69" s="3">
        <f>$K69+$L69+$M69</f>
        <v>25503.01</v>
      </c>
      <c r="J69" s="3">
        <f>$N69+$O69+$P69</f>
        <v>4930.5651037535081</v>
      </c>
      <c r="K69" s="4">
        <v>5940.53</v>
      </c>
      <c r="L69" s="4">
        <v>18783.55</v>
      </c>
      <c r="M69" s="4">
        <v>778.93</v>
      </c>
      <c r="N69" s="3">
        <v>508.30050021364559</v>
      </c>
      <c r="O69" s="3">
        <v>1900.2203104375758</v>
      </c>
      <c r="P69" s="3">
        <v>2522.0442931022862</v>
      </c>
      <c r="Q69" s="3">
        <f>$R69+$S69</f>
        <v>21456.355273856476</v>
      </c>
      <c r="R69" s="3">
        <f>$T69+$U69+$V69</f>
        <v>16216.32</v>
      </c>
      <c r="S69" s="3">
        <f>$W69+$X69+$Y69</f>
        <v>5240.0352738564761</v>
      </c>
      <c r="T69" s="4">
        <v>6071.22</v>
      </c>
      <c r="U69" s="4">
        <v>7885.33</v>
      </c>
      <c r="V69" s="4">
        <v>2259.77</v>
      </c>
      <c r="W69" s="3">
        <v>851.55355729323753</v>
      </c>
      <c r="X69" s="3">
        <v>1221.6419214723874</v>
      </c>
      <c r="Y69" s="3">
        <v>3166.8397950908511</v>
      </c>
    </row>
    <row r="70" spans="1:25" x14ac:dyDescent="0.4">
      <c r="A70" s="1" t="s">
        <v>69</v>
      </c>
      <c r="B70" s="3">
        <f>$D70+$E70+$F70+$G70</f>
        <v>19632.530000000002</v>
      </c>
      <c r="C70" s="3">
        <f>$E70+$F70+$G70</f>
        <v>2509.67</v>
      </c>
      <c r="D70" s="4">
        <v>17122.86</v>
      </c>
      <c r="E70" s="4">
        <v>1287.1300000000001</v>
      </c>
      <c r="F70" s="4">
        <v>667.79</v>
      </c>
      <c r="G70" s="4">
        <v>554.75</v>
      </c>
      <c r="H70" s="3">
        <f>$I70+$J70</f>
        <v>34018.623451235828</v>
      </c>
      <c r="I70" s="3">
        <f>$K70+$L70+$M70</f>
        <v>29021.65</v>
      </c>
      <c r="J70" s="3">
        <f>$N70+$O70+$P70</f>
        <v>4996.9734512358255</v>
      </c>
      <c r="K70" s="4">
        <v>6917.72</v>
      </c>
      <c r="L70" s="4">
        <v>21346.84</v>
      </c>
      <c r="M70" s="4">
        <v>757.09</v>
      </c>
      <c r="N70" s="3">
        <v>522.77167693558147</v>
      </c>
      <c r="O70" s="3">
        <v>1744.0883531382933</v>
      </c>
      <c r="P70" s="3">
        <v>2730.1134211619506</v>
      </c>
      <c r="Q70" s="3">
        <f>$R70+$S70</f>
        <v>20064.570408197542</v>
      </c>
      <c r="R70" s="3">
        <f>$T70+$U70+$V70</f>
        <v>15115.349999999999</v>
      </c>
      <c r="S70" s="3">
        <f>$W70+$X70+$Y70</f>
        <v>4949.2204081975424</v>
      </c>
      <c r="T70" s="4">
        <v>6577.16</v>
      </c>
      <c r="U70" s="4">
        <v>6642.48</v>
      </c>
      <c r="V70" s="4">
        <v>1895.71</v>
      </c>
      <c r="W70" s="3">
        <v>775.47284309665304</v>
      </c>
      <c r="X70" s="3">
        <v>1101.7316840831324</v>
      </c>
      <c r="Y70" s="3">
        <v>3072.0158810177568</v>
      </c>
    </row>
    <row r="71" spans="1:25" x14ac:dyDescent="0.4">
      <c r="A71" s="1" t="s">
        <v>70</v>
      </c>
      <c r="B71" s="3">
        <f>$D71+$E71+$F71+$G71</f>
        <v>18858.219999999998</v>
      </c>
      <c r="C71" s="3">
        <f>$E71+$F71+$G71</f>
        <v>2684.08</v>
      </c>
      <c r="D71" s="4">
        <v>16174.14</v>
      </c>
      <c r="E71" s="4">
        <v>1428.51</v>
      </c>
      <c r="F71" s="4">
        <v>706.37</v>
      </c>
      <c r="G71" s="4">
        <v>549.20000000000005</v>
      </c>
      <c r="H71" s="3">
        <f>$I71+$J71</f>
        <v>42545.294665255293</v>
      </c>
      <c r="I71" s="3">
        <f>$K71+$L71+$M71</f>
        <v>37406.550000000003</v>
      </c>
      <c r="J71" s="3">
        <f>$N71+$O71+$P71</f>
        <v>5138.7446652552926</v>
      </c>
      <c r="K71" s="4">
        <v>10295.73</v>
      </c>
      <c r="L71" s="4">
        <v>26320.07</v>
      </c>
      <c r="M71" s="4">
        <v>790.75</v>
      </c>
      <c r="N71" s="3">
        <v>658.43916763155369</v>
      </c>
      <c r="O71" s="3">
        <v>1546.6270003842424</v>
      </c>
      <c r="P71" s="3">
        <v>2933.6784972394967</v>
      </c>
      <c r="Q71" s="3">
        <f>$R71+$S71</f>
        <v>22081.127884313981</v>
      </c>
      <c r="R71" s="3">
        <f>$T71+$U71+$V71</f>
        <v>17264.919999999998</v>
      </c>
      <c r="S71" s="3">
        <f>$W71+$X71+$Y71</f>
        <v>4816.2078843139807</v>
      </c>
      <c r="T71" s="4">
        <v>9027.91</v>
      </c>
      <c r="U71" s="4">
        <v>6019.69</v>
      </c>
      <c r="V71" s="4">
        <v>2217.3200000000002</v>
      </c>
      <c r="W71" s="3">
        <v>797.4720810313728</v>
      </c>
      <c r="X71" s="3">
        <v>974.60894720381111</v>
      </c>
      <c r="Y71" s="3">
        <v>3044.1268560787971</v>
      </c>
    </row>
    <row r="72" spans="1:25" x14ac:dyDescent="0.4">
      <c r="A72" s="1" t="s">
        <v>71</v>
      </c>
      <c r="B72" s="3">
        <f>$D72+$E72+$F72+$G72</f>
        <v>23320.18</v>
      </c>
      <c r="C72" s="3">
        <f>$E72+$F72+$G72</f>
        <v>3498.29</v>
      </c>
      <c r="D72" s="4">
        <v>19821.89</v>
      </c>
      <c r="E72" s="4">
        <v>1913.41</v>
      </c>
      <c r="F72" s="4">
        <v>922.61</v>
      </c>
      <c r="G72" s="4">
        <v>662.27</v>
      </c>
      <c r="H72" s="3">
        <f>$I72+$J72</f>
        <v>100123.38836174851</v>
      </c>
      <c r="I72" s="3">
        <f>$K72+$L72+$M72</f>
        <v>93835.659999999989</v>
      </c>
      <c r="J72" s="3">
        <f>$N72+$O72+$P72</f>
        <v>6287.7283617485191</v>
      </c>
      <c r="K72" s="4">
        <v>10626.09</v>
      </c>
      <c r="L72" s="4">
        <v>82219.199999999997</v>
      </c>
      <c r="M72" s="4">
        <v>990.37</v>
      </c>
      <c r="N72" s="3">
        <v>984.04085280293521</v>
      </c>
      <c r="O72" s="3">
        <v>1786.3358912790593</v>
      </c>
      <c r="P72" s="3">
        <v>3517.3516176665239</v>
      </c>
      <c r="Q72" s="3">
        <f>$R72+$S72</f>
        <v>29519.541703108258</v>
      </c>
      <c r="R72" s="3">
        <f>$T72+$U72+$V72</f>
        <v>24828.309999999998</v>
      </c>
      <c r="S72" s="3">
        <f>$W72+$X72+$Y72</f>
        <v>4691.2317031082603</v>
      </c>
      <c r="T72" s="4">
        <v>15089.73</v>
      </c>
      <c r="U72" s="4">
        <v>7166.64</v>
      </c>
      <c r="V72" s="4">
        <v>2571.94</v>
      </c>
      <c r="W72" s="3">
        <v>862.55298019245311</v>
      </c>
      <c r="X72" s="3">
        <v>972.8055789946045</v>
      </c>
      <c r="Y72" s="3">
        <v>2855.8731439212024</v>
      </c>
    </row>
    <row r="73" spans="1:25" x14ac:dyDescent="0.4">
      <c r="A73" s="1" t="s">
        <v>72</v>
      </c>
      <c r="B73" s="3">
        <f>$D73+$E73+$F73+$G73</f>
        <v>21093.230000000003</v>
      </c>
      <c r="C73" s="3">
        <f>$E73+$F73+$G73</f>
        <v>3720.3199999999997</v>
      </c>
      <c r="D73" s="4">
        <v>17372.91</v>
      </c>
      <c r="E73" s="4">
        <v>2113.31</v>
      </c>
      <c r="F73" s="4">
        <v>878.72</v>
      </c>
      <c r="G73" s="4">
        <v>728.29</v>
      </c>
      <c r="H73" s="3">
        <f>$I73+$J73</f>
        <v>94396.039486639856</v>
      </c>
      <c r="I73" s="3">
        <f>$K73+$L73+$M73</f>
        <v>87693.75</v>
      </c>
      <c r="J73" s="3">
        <f>$N73+$O73+$P73</f>
        <v>6702.2894866398619</v>
      </c>
      <c r="K73" s="4">
        <v>9399.56</v>
      </c>
      <c r="L73" s="4">
        <v>77385.440000000002</v>
      </c>
      <c r="M73" s="4">
        <v>908.75</v>
      </c>
      <c r="N73" s="3">
        <v>905.35382937740849</v>
      </c>
      <c r="O73" s="3">
        <v>1814.8070914700479</v>
      </c>
      <c r="P73" s="3">
        <v>3982.1285657924059</v>
      </c>
      <c r="Q73" s="3">
        <f>$R73+$S73</f>
        <v>33492.978027329038</v>
      </c>
      <c r="R73" s="3">
        <f>$T73+$U73+$V73</f>
        <v>28240.23</v>
      </c>
      <c r="S73" s="3">
        <f>$W73+$X73+$Y73</f>
        <v>5252.7480273290366</v>
      </c>
      <c r="T73" s="4">
        <v>18431.03</v>
      </c>
      <c r="U73" s="4">
        <v>7337.79</v>
      </c>
      <c r="V73" s="4">
        <v>2471.41</v>
      </c>
      <c r="W73" s="3">
        <v>852.47017586817219</v>
      </c>
      <c r="X73" s="3">
        <v>1036.8179719890843</v>
      </c>
      <c r="Y73" s="3">
        <v>3363.4598794717804</v>
      </c>
    </row>
    <row r="74" spans="1:25" x14ac:dyDescent="0.4">
      <c r="A74" s="1" t="s">
        <v>73</v>
      </c>
      <c r="B74" s="3">
        <f>$D74+$E74+$F74+$G74</f>
        <v>19692.509999999998</v>
      </c>
      <c r="C74" s="3">
        <f>$E74+$F74+$G74</f>
        <v>3767.75</v>
      </c>
      <c r="D74" s="4">
        <v>15924.76</v>
      </c>
      <c r="E74" s="4">
        <v>2076.66</v>
      </c>
      <c r="F74" s="4">
        <v>1006.09</v>
      </c>
      <c r="G74" s="4">
        <v>685</v>
      </c>
      <c r="H74" s="3">
        <f>$I74+$J74</f>
        <v>98943.028845279434</v>
      </c>
      <c r="I74" s="3">
        <f>$K74+$L74+$M74</f>
        <v>91519.2</v>
      </c>
      <c r="J74" s="3">
        <f>$N74+$O74+$P74</f>
        <v>7423.8288452794422</v>
      </c>
      <c r="K74" s="4">
        <v>9588.17</v>
      </c>
      <c r="L74" s="4">
        <v>80960.25</v>
      </c>
      <c r="M74" s="4">
        <v>970.78</v>
      </c>
      <c r="N74" s="3">
        <v>867.36699048232663</v>
      </c>
      <c r="O74" s="3">
        <v>1778.9884601584529</v>
      </c>
      <c r="P74" s="3">
        <v>4777.4733946386623</v>
      </c>
      <c r="Q74" s="3">
        <f>$R74+$S74</f>
        <v>38451.91804202777</v>
      </c>
      <c r="R74" s="3">
        <f>$T74+$U74+$V74</f>
        <v>33573.990000000005</v>
      </c>
      <c r="S74" s="3">
        <f>$W74+$X74+$Y74</f>
        <v>4877.9280420277673</v>
      </c>
      <c r="T74" s="4">
        <v>23269.83</v>
      </c>
      <c r="U74" s="4">
        <v>7649.76</v>
      </c>
      <c r="V74" s="4">
        <v>2654.4</v>
      </c>
      <c r="W74" s="3">
        <v>875.38603237782638</v>
      </c>
      <c r="X74" s="3">
        <v>1016.9831117180214</v>
      </c>
      <c r="Y74" s="3">
        <v>2985.5588979319195</v>
      </c>
    </row>
    <row r="75" spans="1:25" x14ac:dyDescent="0.4">
      <c r="A75" s="1" t="s">
        <v>74</v>
      </c>
      <c r="B75" s="3">
        <f>$D75+$E75+$F75+$G75</f>
        <v>18444.080000000002</v>
      </c>
      <c r="C75" s="3">
        <f>$E75+$F75+$G75</f>
        <v>3763.64</v>
      </c>
      <c r="D75" s="4">
        <v>14680.44</v>
      </c>
      <c r="E75" s="4">
        <v>2146.62</v>
      </c>
      <c r="F75" s="4">
        <v>952.58</v>
      </c>
      <c r="G75" s="4">
        <v>664.44</v>
      </c>
      <c r="H75" s="3">
        <f>$I75+$J75</f>
        <v>76385.107705959977</v>
      </c>
      <c r="I75" s="3">
        <f>$K75+$L75+$M75</f>
        <v>69431.400000000009</v>
      </c>
      <c r="J75" s="3">
        <f>$N75+$O75+$P75</f>
        <v>6953.7077059599687</v>
      </c>
      <c r="K75" s="4">
        <v>8246.19</v>
      </c>
      <c r="L75" s="4">
        <v>60235.11</v>
      </c>
      <c r="M75" s="4">
        <v>950.1</v>
      </c>
      <c r="N75" s="3">
        <v>774.20858140704115</v>
      </c>
      <c r="O75" s="3">
        <v>1848.788674198772</v>
      </c>
      <c r="P75" s="3">
        <v>4330.7104503541559</v>
      </c>
      <c r="Q75" s="3">
        <f>$R75+$S75</f>
        <v>41555.496806595409</v>
      </c>
      <c r="R75" s="3">
        <f>$T75+$U75+$V75</f>
        <v>36407.449999999997</v>
      </c>
      <c r="S75" s="3">
        <f>$W75+$X75+$Y75</f>
        <v>5148.0468065954137</v>
      </c>
      <c r="T75" s="4">
        <v>25909.4</v>
      </c>
      <c r="U75" s="4">
        <v>7975.81</v>
      </c>
      <c r="V75" s="4">
        <v>2522.2399999999998</v>
      </c>
      <c r="W75" s="3">
        <v>806.63826678071905</v>
      </c>
      <c r="X75" s="3">
        <v>1106.239739601114</v>
      </c>
      <c r="Y75" s="3">
        <v>3235.1688002135802</v>
      </c>
    </row>
    <row r="76" spans="1:25" x14ac:dyDescent="0.4">
      <c r="A76" s="1" t="s">
        <v>75</v>
      </c>
      <c r="B76" s="3">
        <f>$D76+$E76+$F76+$G76</f>
        <v>17957.599999999999</v>
      </c>
      <c r="C76" s="3">
        <f>$E76+$F76+$G76</f>
        <v>4990.41</v>
      </c>
      <c r="D76" s="4">
        <v>12967.19</v>
      </c>
      <c r="E76" s="4">
        <v>3463.85</v>
      </c>
      <c r="F76" s="4">
        <v>950.51</v>
      </c>
      <c r="G76" s="4">
        <v>576.04999999999995</v>
      </c>
      <c r="H76" s="3">
        <f>$I76+$J76</f>
        <v>50812.313594089814</v>
      </c>
      <c r="I76" s="3">
        <f>$K76+$L76+$M76</f>
        <v>44715.429999999993</v>
      </c>
      <c r="J76" s="3">
        <f>$N76+$O76+$P76</f>
        <v>6096.883594089818</v>
      </c>
      <c r="K76" s="4">
        <v>6354.6</v>
      </c>
      <c r="L76" s="4">
        <v>37494.019999999997</v>
      </c>
      <c r="M76" s="4">
        <v>866.81</v>
      </c>
      <c r="N76" s="3">
        <v>596.03200909038219</v>
      </c>
      <c r="O76" s="3">
        <v>1594.3849210627432</v>
      </c>
      <c r="P76" s="3">
        <v>3906.4666639366924</v>
      </c>
      <c r="Q76" s="3">
        <f>$R76+$S76</f>
        <v>46713.318433635839</v>
      </c>
      <c r="R76" s="3">
        <f>$T76+$U76+$V76</f>
        <v>41967.08</v>
      </c>
      <c r="S76" s="3">
        <f>$W76+$X76+$Y76</f>
        <v>4746.2384336358409</v>
      </c>
      <c r="T76" s="4">
        <v>31000.63</v>
      </c>
      <c r="U76" s="4">
        <v>8181.14</v>
      </c>
      <c r="V76" s="4">
        <v>2785.31</v>
      </c>
      <c r="W76" s="3">
        <v>792.88879208855542</v>
      </c>
      <c r="X76" s="3">
        <v>1089.109566638826</v>
      </c>
      <c r="Y76" s="3">
        <v>2864.2400749084591</v>
      </c>
    </row>
    <row r="77" spans="1:25" x14ac:dyDescent="0.4">
      <c r="A77" s="1" t="s">
        <v>76</v>
      </c>
      <c r="B77" s="3">
        <f>$D77+$E77+$F77+$G77</f>
        <v>17219.66</v>
      </c>
      <c r="C77" s="3">
        <f>$E77+$F77+$G77</f>
        <v>4557.66</v>
      </c>
      <c r="D77" s="4">
        <v>12662</v>
      </c>
      <c r="E77" s="4">
        <v>3078.59</v>
      </c>
      <c r="F77" s="4">
        <v>855.69</v>
      </c>
      <c r="G77" s="4">
        <v>623.38</v>
      </c>
      <c r="H77" s="3">
        <f>$I77+$J77</f>
        <v>44184.919222926997</v>
      </c>
      <c r="I77" s="3">
        <f>$K77+$L77+$M77</f>
        <v>38351.11</v>
      </c>
      <c r="J77" s="3">
        <f>$N77+$O77+$P77</f>
        <v>5833.8092229270005</v>
      </c>
      <c r="K77" s="4">
        <v>5176.59</v>
      </c>
      <c r="L77" s="4">
        <v>28726.46</v>
      </c>
      <c r="M77" s="4">
        <v>4448.0600000000004</v>
      </c>
      <c r="N77" s="3">
        <v>563.47186146602633</v>
      </c>
      <c r="O77" s="3">
        <v>1644.8984146155503</v>
      </c>
      <c r="P77" s="3">
        <v>3625.4389468454233</v>
      </c>
      <c r="Q77" s="3">
        <f>$R77+$S77</f>
        <v>60454.668823752261</v>
      </c>
      <c r="R77" s="3">
        <f>$T77+$U77+$V77</f>
        <v>55675.049999999996</v>
      </c>
      <c r="S77" s="3">
        <f>$W77+$X77+$Y77</f>
        <v>4779.6188237522692</v>
      </c>
      <c r="T77" s="4">
        <v>44136.1</v>
      </c>
      <c r="U77" s="4">
        <v>8346.64</v>
      </c>
      <c r="V77" s="4">
        <v>3192.31</v>
      </c>
      <c r="W77" s="3">
        <v>813.97141144834029</v>
      </c>
      <c r="X77" s="3">
        <v>1097.2238719018408</v>
      </c>
      <c r="Y77" s="3">
        <v>2868.4235404020878</v>
      </c>
    </row>
    <row r="78" spans="1:25" x14ac:dyDescent="0.4">
      <c r="A78" s="1" t="s">
        <v>77</v>
      </c>
      <c r="B78" s="3">
        <f>$D78+$E78+$F78+$G78</f>
        <v>16241.08</v>
      </c>
      <c r="C78" s="3">
        <f>$E78+$F78+$G78</f>
        <v>4387.76</v>
      </c>
      <c r="D78" s="4">
        <v>11853.32</v>
      </c>
      <c r="E78" s="4">
        <v>3001.18</v>
      </c>
      <c r="F78" s="4">
        <v>771.28</v>
      </c>
      <c r="G78" s="4">
        <v>615.29999999999995</v>
      </c>
      <c r="H78" s="3">
        <f>$I78+$J78</f>
        <v>38047.53734924618</v>
      </c>
      <c r="I78" s="3">
        <f>$K78+$L78+$M78</f>
        <v>32543.69</v>
      </c>
      <c r="J78" s="3">
        <f>$N78+$O78+$P78</f>
        <v>5503.8473492461808</v>
      </c>
      <c r="K78" s="4">
        <v>4344.6400000000003</v>
      </c>
      <c r="L78" s="4">
        <v>22490.57</v>
      </c>
      <c r="M78" s="4">
        <v>5708.48</v>
      </c>
      <c r="N78" s="3">
        <v>539.05175074775934</v>
      </c>
      <c r="O78" s="3">
        <v>1634.7957922260766</v>
      </c>
      <c r="P78" s="3">
        <v>3329.9998062723448</v>
      </c>
      <c r="Q78" s="3">
        <f>$R78+$S78</f>
        <v>51095.716440255463</v>
      </c>
      <c r="R78" s="3">
        <f>$T78+$U78+$V78</f>
        <v>46451.789999999994</v>
      </c>
      <c r="S78" s="3">
        <f>$W78+$X78+$Y78</f>
        <v>4643.9264402554682</v>
      </c>
      <c r="T78" s="4">
        <v>35330.379999999997</v>
      </c>
      <c r="U78" s="4">
        <v>8306.1299999999992</v>
      </c>
      <c r="V78" s="4">
        <v>2815.28</v>
      </c>
      <c r="W78" s="3">
        <v>825.88764899063494</v>
      </c>
      <c r="X78" s="3">
        <v>1045.8338396883573</v>
      </c>
      <c r="Y78" s="3">
        <v>2772.2049515764761</v>
      </c>
    </row>
    <row r="79" spans="1:25" x14ac:dyDescent="0.4">
      <c r="A79" s="1" t="s">
        <v>78</v>
      </c>
      <c r="B79" s="3">
        <f>$D79+$E79+$F79+$G79</f>
        <v>14401.640000000001</v>
      </c>
      <c r="C79" s="3">
        <f>$E79+$F79+$G79</f>
        <v>3814.16</v>
      </c>
      <c r="D79" s="4">
        <v>10587.48</v>
      </c>
      <c r="E79" s="4">
        <v>2656.38</v>
      </c>
      <c r="F79" s="4">
        <v>632.52</v>
      </c>
      <c r="G79" s="4">
        <v>525.26</v>
      </c>
      <c r="H79" s="3">
        <f>$I79+$J79</f>
        <v>28871.159906271347</v>
      </c>
      <c r="I79" s="3">
        <f>$K79+$L79+$M79</f>
        <v>23789.760000000002</v>
      </c>
      <c r="J79" s="3">
        <f>$N79+$O79+$P79</f>
        <v>5081.3999062713456</v>
      </c>
      <c r="K79" s="4">
        <v>3554.17</v>
      </c>
      <c r="L79" s="4">
        <v>17788.939999999999</v>
      </c>
      <c r="M79" s="4">
        <v>2446.65</v>
      </c>
      <c r="N79" s="3">
        <v>530.91171384167046</v>
      </c>
      <c r="O79" s="3">
        <v>1449.2737288389314</v>
      </c>
      <c r="P79" s="3">
        <v>3101.2144635907434</v>
      </c>
      <c r="Q79" s="3">
        <f>$R79+$S79</f>
        <v>50645.154555070665</v>
      </c>
      <c r="R79" s="3">
        <f>$T79+$U79+$V79</f>
        <v>46096.07</v>
      </c>
      <c r="S79" s="3">
        <f>$W79+$X79+$Y79</f>
        <v>4549.0845550706672</v>
      </c>
      <c r="T79" s="4">
        <v>35332.89</v>
      </c>
      <c r="U79" s="4">
        <v>8416.08</v>
      </c>
      <c r="V79" s="4">
        <v>2347.1</v>
      </c>
      <c r="W79" s="3">
        <v>846.0536497754855</v>
      </c>
      <c r="X79" s="3">
        <v>1052.1447767421655</v>
      </c>
      <c r="Y79" s="3">
        <v>2650.8861285530156</v>
      </c>
    </row>
    <row r="80" spans="1:25" x14ac:dyDescent="0.4">
      <c r="A80" s="1" t="s">
        <v>79</v>
      </c>
      <c r="B80" s="3">
        <f>$D80+$E80+$F80+$G80</f>
        <v>17909.48</v>
      </c>
      <c r="C80" s="3">
        <f>$E80+$F80+$G80</f>
        <v>9057.85</v>
      </c>
      <c r="D80" s="4">
        <v>8851.6299999999992</v>
      </c>
      <c r="E80" s="4">
        <v>8091.33</v>
      </c>
      <c r="F80" s="4">
        <v>548.24</v>
      </c>
      <c r="G80" s="4">
        <v>418.28</v>
      </c>
      <c r="H80" s="3">
        <f>$I80+$J80</f>
        <v>24643.856326800018</v>
      </c>
      <c r="I80" s="3">
        <f>$K80+$L80+$M80</f>
        <v>19333.18</v>
      </c>
      <c r="J80" s="3">
        <f>$N80+$O80+$P80</f>
        <v>5310.6763268000186</v>
      </c>
      <c r="K80" s="4">
        <v>2791.32</v>
      </c>
      <c r="L80" s="4">
        <v>15427.3</v>
      </c>
      <c r="M80" s="4">
        <v>1114.56</v>
      </c>
      <c r="N80" s="3">
        <v>503.77825748804048</v>
      </c>
      <c r="O80" s="3">
        <v>1527.3398982912918</v>
      </c>
      <c r="P80" s="3">
        <v>3279.5581710206866</v>
      </c>
      <c r="Q80" s="3">
        <f>$R80+$S80</f>
        <v>49646.6693214634</v>
      </c>
      <c r="R80" s="3">
        <f>$T80+$U80+$V80</f>
        <v>44924.62</v>
      </c>
      <c r="S80" s="3">
        <f>$W80+$X80+$Y80</f>
        <v>4722.0493214634007</v>
      </c>
      <c r="T80" s="4">
        <v>35573.120000000003</v>
      </c>
      <c r="U80" s="4">
        <v>7527.6</v>
      </c>
      <c r="V80" s="4">
        <v>1823.9</v>
      </c>
      <c r="W80" s="3">
        <v>905.63483748695774</v>
      </c>
      <c r="X80" s="3">
        <v>1127.8777247446931</v>
      </c>
      <c r="Y80" s="3">
        <v>2688.5367592317502</v>
      </c>
    </row>
    <row r="81" spans="1:25" x14ac:dyDescent="0.4">
      <c r="A81" s="1" t="s">
        <v>80</v>
      </c>
      <c r="B81" s="3">
        <f>$D81+$E81+$F81+$G81</f>
        <v>12177.12</v>
      </c>
      <c r="C81" s="3">
        <f>$E81+$F81+$G81</f>
        <v>2800.5299999999997</v>
      </c>
      <c r="D81" s="4">
        <v>9376.59</v>
      </c>
      <c r="E81" s="4">
        <v>1739.88</v>
      </c>
      <c r="F81" s="4">
        <v>579.49</v>
      </c>
      <c r="G81" s="4">
        <v>481.16</v>
      </c>
      <c r="H81" s="3">
        <f>$I81+$J81</f>
        <v>26411.766937599121</v>
      </c>
      <c r="I81" s="3">
        <f>$K81+$L81+$M81</f>
        <v>20452.219999999998</v>
      </c>
      <c r="J81" s="3">
        <f>$N81+$O81+$P81</f>
        <v>5959.5469375991233</v>
      </c>
      <c r="K81" s="4">
        <v>3203.75</v>
      </c>
      <c r="L81" s="4">
        <v>16363.99</v>
      </c>
      <c r="M81" s="4">
        <v>884.48</v>
      </c>
      <c r="N81" s="3">
        <v>492.0204264014676</v>
      </c>
      <c r="O81" s="3">
        <v>1641.2246990552471</v>
      </c>
      <c r="P81" s="3">
        <v>3826.3018121424084</v>
      </c>
      <c r="Q81" s="3">
        <f>$R81+$S81</f>
        <v>55169.562381038842</v>
      </c>
      <c r="R81" s="3">
        <f>$T81+$U81+$V81</f>
        <v>50509.880000000005</v>
      </c>
      <c r="S81" s="3">
        <f>$W81+$X81+$Y81</f>
        <v>4659.6823810388369</v>
      </c>
      <c r="T81" s="4">
        <v>40192.480000000003</v>
      </c>
      <c r="U81" s="4">
        <v>8405.35</v>
      </c>
      <c r="V81" s="4">
        <v>1912.05</v>
      </c>
      <c r="W81" s="3">
        <v>861.63636161751822</v>
      </c>
      <c r="X81" s="3">
        <v>1120.664981917937</v>
      </c>
      <c r="Y81" s="3">
        <v>2677.3810375033818</v>
      </c>
    </row>
    <row r="82" spans="1:25" x14ac:dyDescent="0.4">
      <c r="A82" s="1" t="s">
        <v>81</v>
      </c>
      <c r="B82" s="3">
        <f>$D82+$E82+$F82+$G82</f>
        <v>11863.289999999999</v>
      </c>
      <c r="C82" s="3">
        <f>$E82+$F82+$G82</f>
        <v>2484.83</v>
      </c>
      <c r="D82" s="4">
        <v>9378.4599999999991</v>
      </c>
      <c r="E82" s="4">
        <v>1555.18</v>
      </c>
      <c r="F82" s="4">
        <v>488.59</v>
      </c>
      <c r="G82" s="4">
        <v>441.06</v>
      </c>
      <c r="H82" s="3">
        <f>$I82+$J82</f>
        <v>27575.173823165474</v>
      </c>
      <c r="I82" s="3">
        <f>$K82+$L82+$M82</f>
        <v>21536.14</v>
      </c>
      <c r="J82" s="3">
        <f>$N82+$O82+$P82</f>
        <v>6039.0338231654732</v>
      </c>
      <c r="K82" s="4">
        <v>3060.21</v>
      </c>
      <c r="L82" s="4">
        <v>17633.88</v>
      </c>
      <c r="M82" s="4">
        <v>842.05</v>
      </c>
      <c r="N82" s="3">
        <v>519.15388275509747</v>
      </c>
      <c r="O82" s="3">
        <v>1787.2540339650557</v>
      </c>
      <c r="P82" s="3">
        <v>3732.6259064453197</v>
      </c>
      <c r="Q82" s="3">
        <f>$R82+$S82</f>
        <v>60738.307160769502</v>
      </c>
      <c r="R82" s="3">
        <f>$T82+$U82+$V82</f>
        <v>55963.16</v>
      </c>
      <c r="S82" s="3">
        <f>$W82+$X82+$Y82</f>
        <v>4775.1471607695021</v>
      </c>
      <c r="T82" s="4">
        <v>44909.41</v>
      </c>
      <c r="U82" s="4">
        <v>9064.81</v>
      </c>
      <c r="V82" s="4">
        <v>1988.94</v>
      </c>
      <c r="W82" s="3">
        <v>934.96722008929885</v>
      </c>
      <c r="X82" s="3">
        <v>1155.826646942081</v>
      </c>
      <c r="Y82" s="3">
        <v>2684.3532937381219</v>
      </c>
    </row>
    <row r="83" spans="1:25" x14ac:dyDescent="0.4">
      <c r="A83" s="1" t="s">
        <v>82</v>
      </c>
      <c r="B83" s="3">
        <f>$D83+$E83+$F83+$G83</f>
        <v>11867.69</v>
      </c>
      <c r="C83" s="3">
        <f>$E83+$F83+$G83</f>
        <v>2545.9399999999996</v>
      </c>
      <c r="D83" s="4">
        <v>9321.75</v>
      </c>
      <c r="E83" s="4">
        <v>1568.86</v>
      </c>
      <c r="F83" s="4">
        <v>514.15</v>
      </c>
      <c r="G83" s="4">
        <v>462.93</v>
      </c>
      <c r="H83" s="3">
        <f>$I83+$J83</f>
        <v>28289.51636403675</v>
      </c>
      <c r="I83" s="3">
        <f>$K83+$L83+$M83</f>
        <v>22575.360000000001</v>
      </c>
      <c r="J83" s="3">
        <f>$N83+$O83+$P83</f>
        <v>5714.1563640367503</v>
      </c>
      <c r="K83" s="4">
        <v>2909.02</v>
      </c>
      <c r="L83" s="4">
        <v>18962.900000000001</v>
      </c>
      <c r="M83" s="4">
        <v>703.44</v>
      </c>
      <c r="N83" s="3">
        <v>543.57399347336434</v>
      </c>
      <c r="O83" s="3">
        <v>1563.1585296028868</v>
      </c>
      <c r="P83" s="3">
        <v>3607.4238409604991</v>
      </c>
      <c r="Q83" s="3">
        <f>$R83+$S83</f>
        <v>84637.892025546171</v>
      </c>
      <c r="R83" s="3">
        <f>$T83+$U83+$V83</f>
        <v>80016.319999999992</v>
      </c>
      <c r="S83" s="3">
        <f>$W83+$X83+$Y83</f>
        <v>4621.5720255461802</v>
      </c>
      <c r="T83" s="4">
        <v>68782.899999999994</v>
      </c>
      <c r="U83" s="4">
        <v>9240.73</v>
      </c>
      <c r="V83" s="4">
        <v>1992.69</v>
      </c>
      <c r="W83" s="3">
        <v>934.05060151436419</v>
      </c>
      <c r="X83" s="3">
        <v>1162.1375839958891</v>
      </c>
      <c r="Y83" s="3">
        <v>2525.3838400359273</v>
      </c>
    </row>
    <row r="84" spans="1:25" x14ac:dyDescent="0.4">
      <c r="A84" s="1" t="s">
        <v>83</v>
      </c>
      <c r="B84" s="3">
        <f>$D84+$E84+$F84+$G84</f>
        <v>13392.43</v>
      </c>
      <c r="C84" s="3">
        <f>$E84+$F84+$G84</f>
        <v>2290.86</v>
      </c>
      <c r="D84" s="4">
        <v>11101.57</v>
      </c>
      <c r="E84" s="4">
        <v>1334.75</v>
      </c>
      <c r="F84" s="4">
        <v>489.53</v>
      </c>
      <c r="G84" s="4">
        <v>466.58</v>
      </c>
      <c r="H84" s="3">
        <f>$I84+$J84</f>
        <v>27153.209832824115</v>
      </c>
      <c r="I84" s="3">
        <f>$K84+$L84+$M84</f>
        <v>21013.119999999999</v>
      </c>
      <c r="J84" s="3">
        <f>$N84+$O84+$P84</f>
        <v>6140.0898328241165</v>
      </c>
      <c r="K84" s="4">
        <v>2915.71</v>
      </c>
      <c r="L84" s="4">
        <v>17311.939999999999</v>
      </c>
      <c r="M84" s="4">
        <v>785.47</v>
      </c>
      <c r="N84" s="3">
        <v>515.53608857461347</v>
      </c>
      <c r="O84" s="3">
        <v>1656.8377039824561</v>
      </c>
      <c r="P84" s="3">
        <v>3967.716040267047</v>
      </c>
      <c r="Q84" s="3">
        <f>$R84+$S84</f>
        <v>77751.084790058259</v>
      </c>
      <c r="R84" s="3">
        <f>$T84+$U84+$V84</f>
        <v>73016.01999999999</v>
      </c>
      <c r="S84" s="3">
        <f>$W84+$X84+$Y84</f>
        <v>4735.0647900582644</v>
      </c>
      <c r="T84" s="4">
        <v>61442.09</v>
      </c>
      <c r="U84" s="4">
        <v>9441.51</v>
      </c>
      <c r="V84" s="4">
        <v>2132.42</v>
      </c>
      <c r="W84" s="3">
        <v>956.04983944908383</v>
      </c>
      <c r="X84" s="3">
        <v>1224.3468521178522</v>
      </c>
      <c r="Y84" s="3">
        <v>2554.6680984913278</v>
      </c>
    </row>
    <row r="85" spans="1:25" x14ac:dyDescent="0.4">
      <c r="A85" s="1" t="s">
        <v>84</v>
      </c>
      <c r="B85" s="3">
        <f>$D85+$E85+$F85+$G85</f>
        <v>16985.860000000004</v>
      </c>
      <c r="C85" s="3">
        <f>$E85+$F85+$G85</f>
        <v>2665.4900000000002</v>
      </c>
      <c r="D85" s="4">
        <v>14320.37</v>
      </c>
      <c r="E85" s="4">
        <v>1584.68</v>
      </c>
      <c r="F85" s="4">
        <v>601.25</v>
      </c>
      <c r="G85" s="4">
        <v>479.56</v>
      </c>
      <c r="H85" s="3">
        <f>$I85+$J85</f>
        <v>30200.758038550222</v>
      </c>
      <c r="I85" s="3">
        <f>$K85+$L85+$M85</f>
        <v>24396.2</v>
      </c>
      <c r="J85" s="3">
        <f>$N85+$O85+$P85</f>
        <v>5804.5580385502217</v>
      </c>
      <c r="K85" s="4">
        <v>3636.52</v>
      </c>
      <c r="L85" s="4">
        <v>19835.18</v>
      </c>
      <c r="M85" s="4">
        <v>924.5</v>
      </c>
      <c r="N85" s="3">
        <v>514.63164002949247</v>
      </c>
      <c r="O85" s="3">
        <v>1726.6382996282136</v>
      </c>
      <c r="P85" s="3">
        <v>3563.2880988925158</v>
      </c>
      <c r="Q85" s="3">
        <f>$R85+$S85</f>
        <v>79766.036508740537</v>
      </c>
      <c r="R85" s="3">
        <f>$T85+$U85+$V85</f>
        <v>75009.119999999995</v>
      </c>
      <c r="S85" s="3">
        <f>$W85+$X85+$Y85</f>
        <v>4756.9165087405454</v>
      </c>
      <c r="T85" s="4">
        <v>61752.69</v>
      </c>
      <c r="U85" s="4">
        <v>10817.18</v>
      </c>
      <c r="V85" s="4">
        <v>2439.25</v>
      </c>
      <c r="W85" s="3">
        <v>907.46807463682683</v>
      </c>
      <c r="X85" s="3">
        <v>1156.728209378339</v>
      </c>
      <c r="Y85" s="3">
        <v>2692.720224725379</v>
      </c>
    </row>
    <row r="86" spans="1:25" x14ac:dyDescent="0.4">
      <c r="A86" s="1" t="s">
        <v>85</v>
      </c>
      <c r="B86" s="3">
        <f>$D86+$E86+$F86+$G86</f>
        <v>13654.270000000002</v>
      </c>
      <c r="C86" s="3">
        <f>$E86+$F86+$G86</f>
        <v>2472.9</v>
      </c>
      <c r="D86" s="4">
        <v>11181.37</v>
      </c>
      <c r="E86" s="4">
        <v>1411.86</v>
      </c>
      <c r="F86" s="4">
        <v>535.95000000000005</v>
      </c>
      <c r="G86" s="4">
        <v>525.09</v>
      </c>
      <c r="H86" s="3">
        <f>$I86+$J86</f>
        <v>27734.211934595682</v>
      </c>
      <c r="I86" s="3">
        <f>$K86+$L86+$M86</f>
        <v>22149.86</v>
      </c>
      <c r="J86" s="3">
        <f>$N86+$O86+$P86</f>
        <v>5584.3519345956811</v>
      </c>
      <c r="K86" s="4">
        <v>3626.52</v>
      </c>
      <c r="L86" s="4">
        <v>17588.82</v>
      </c>
      <c r="M86" s="4">
        <v>934.52</v>
      </c>
      <c r="N86" s="3">
        <v>480.26259531489472</v>
      </c>
      <c r="O86" s="3">
        <v>1618.2638814019936</v>
      </c>
      <c r="P86" s="3">
        <v>3485.8254578787933</v>
      </c>
      <c r="Q86" s="3">
        <f>$R86+$S86</f>
        <v>73713.765219476321</v>
      </c>
      <c r="R86" s="3">
        <f>$T86+$U86+$V86</f>
        <v>69307.42</v>
      </c>
      <c r="S86" s="3">
        <f>$W86+$X86+$Y86</f>
        <v>4406.3452194763295</v>
      </c>
      <c r="T86" s="4">
        <v>57383.03</v>
      </c>
      <c r="U86" s="4">
        <v>9811</v>
      </c>
      <c r="V86" s="4">
        <v>2113.39</v>
      </c>
      <c r="W86" s="3">
        <v>839.63712368279869</v>
      </c>
      <c r="X86" s="3">
        <v>1145.9092168065495</v>
      </c>
      <c r="Y86" s="3">
        <v>2420.7988789869814</v>
      </c>
    </row>
    <row r="87" spans="1:25" x14ac:dyDescent="0.4">
      <c r="A87" s="1" t="s">
        <v>86</v>
      </c>
      <c r="B87" s="3">
        <f>$D87+$E87+$F87+$G87</f>
        <v>12015.57</v>
      </c>
      <c r="C87" s="3">
        <f>$E87+$F87+$G87</f>
        <v>2314.8000000000002</v>
      </c>
      <c r="D87" s="4">
        <v>9700.77</v>
      </c>
      <c r="E87" s="4">
        <v>1420.24</v>
      </c>
      <c r="F87" s="4">
        <v>407.59</v>
      </c>
      <c r="G87" s="4">
        <v>486.97</v>
      </c>
      <c r="H87" s="3">
        <f>$I87+$J87</f>
        <v>20876.887358643795</v>
      </c>
      <c r="I87" s="3">
        <f>$K87+$L87+$M87</f>
        <v>16069.019999999999</v>
      </c>
      <c r="J87" s="3">
        <f>$N87+$O87+$P87</f>
        <v>4807.8673586437953</v>
      </c>
      <c r="K87" s="4">
        <v>2647.97</v>
      </c>
      <c r="L87" s="4">
        <v>12701.25</v>
      </c>
      <c r="M87" s="4">
        <v>719.8</v>
      </c>
      <c r="N87" s="3">
        <v>394.33977460057713</v>
      </c>
      <c r="O87" s="3">
        <v>1540.1980935550719</v>
      </c>
      <c r="P87" s="3">
        <v>2873.3294904881463</v>
      </c>
      <c r="Q87" s="3">
        <f>$R87+$S87</f>
        <v>66480.636431117702</v>
      </c>
      <c r="R87" s="3">
        <f>$T87+$U87+$V87</f>
        <v>61993.590000000004</v>
      </c>
      <c r="S87" s="3">
        <f>$W87+$X87+$Y87</f>
        <v>4487.046431117702</v>
      </c>
      <c r="T87" s="4">
        <v>49431.68</v>
      </c>
      <c r="U87" s="4">
        <v>10315.65</v>
      </c>
      <c r="V87" s="4">
        <v>2246.2600000000002</v>
      </c>
      <c r="W87" s="3">
        <v>895.5518370945324</v>
      </c>
      <c r="X87" s="3">
        <v>1230.6577891716604</v>
      </c>
      <c r="Y87" s="3">
        <v>2360.8368048515099</v>
      </c>
    </row>
    <row r="88" spans="1:25" x14ac:dyDescent="0.4">
      <c r="A88" s="1" t="s">
        <v>87</v>
      </c>
      <c r="B88" s="3">
        <f>$D88+$E88+$F88+$G88</f>
        <v>14784.289999999999</v>
      </c>
      <c r="C88" s="3">
        <f>$E88+$F88+$G88</f>
        <v>2296.8000000000002</v>
      </c>
      <c r="D88" s="4">
        <v>12487.49</v>
      </c>
      <c r="E88" s="4">
        <v>1353.21</v>
      </c>
      <c r="F88" s="4">
        <v>395.21</v>
      </c>
      <c r="G88" s="4">
        <v>548.38</v>
      </c>
      <c r="H88" s="3">
        <f>$I88+$J88</f>
        <v>19347.54576736291</v>
      </c>
      <c r="I88" s="3">
        <f>$K88+$L88+$M88</f>
        <v>14894.91</v>
      </c>
      <c r="J88" s="3">
        <f>$N88+$O88+$P88</f>
        <v>4452.6357673629091</v>
      </c>
      <c r="K88" s="4">
        <v>2938.98</v>
      </c>
      <c r="L88" s="4">
        <v>11024.75</v>
      </c>
      <c r="M88" s="4">
        <v>931.18</v>
      </c>
      <c r="N88" s="3">
        <v>349.11734734452733</v>
      </c>
      <c r="O88" s="3">
        <v>1578.7719161355342</v>
      </c>
      <c r="P88" s="3">
        <v>2524.7465038828477</v>
      </c>
      <c r="Q88" s="3">
        <f>$R88+$S88</f>
        <v>38364.07596881791</v>
      </c>
      <c r="R88" s="3">
        <f>$T88+$U88+$V88</f>
        <v>34409.869999999995</v>
      </c>
      <c r="S88" s="3">
        <f>$W88+$X88+$Y88</f>
        <v>3954.205968817912</v>
      </c>
      <c r="T88" s="4">
        <v>24432.61</v>
      </c>
      <c r="U88" s="4">
        <v>7966.17</v>
      </c>
      <c r="V88" s="4">
        <v>2011.09</v>
      </c>
      <c r="W88" s="3">
        <v>781.88917312119543</v>
      </c>
      <c r="X88" s="3">
        <v>943.95509436095847</v>
      </c>
      <c r="Y88" s="3">
        <v>2228.361701335758</v>
      </c>
    </row>
    <row r="89" spans="1:25" x14ac:dyDescent="0.4">
      <c r="A89" s="1" t="s">
        <v>88</v>
      </c>
      <c r="B89" s="3">
        <f>$D89+$E89+$F89+$G89</f>
        <v>16272.38</v>
      </c>
      <c r="C89" s="3">
        <f>$E89+$F89+$G89</f>
        <v>3274.41</v>
      </c>
      <c r="D89" s="4">
        <v>12997.97</v>
      </c>
      <c r="E89" s="4">
        <v>2226.79</v>
      </c>
      <c r="F89" s="4">
        <v>461.61</v>
      </c>
      <c r="G89" s="4">
        <v>586.01</v>
      </c>
      <c r="H89" s="3">
        <f>$I89+$J89</f>
        <v>20610.853219143341</v>
      </c>
      <c r="I89" s="3">
        <f>$K89+$L89+$M89</f>
        <v>16513.739999999998</v>
      </c>
      <c r="J89" s="3">
        <f>$N89+$O89+$P89</f>
        <v>4097.1132191433408</v>
      </c>
      <c r="K89" s="4">
        <v>6182.65</v>
      </c>
      <c r="L89" s="4">
        <v>9343.82</v>
      </c>
      <c r="M89" s="4">
        <v>987.27</v>
      </c>
      <c r="N89" s="3">
        <v>281.28370646045266</v>
      </c>
      <c r="O89" s="3">
        <v>1513.5635603415149</v>
      </c>
      <c r="P89" s="3">
        <v>2302.2659523413727</v>
      </c>
      <c r="Q89" s="3">
        <f>$R89+$S89</f>
        <v>31507.649243239917</v>
      </c>
      <c r="R89" s="3">
        <f>$T89+$U89+$V89</f>
        <v>27483.03</v>
      </c>
      <c r="S89" s="3">
        <f>$W89+$X89+$Y89</f>
        <v>4024.619243239918</v>
      </c>
      <c r="T89" s="4">
        <v>17891.89</v>
      </c>
      <c r="U89" s="4">
        <v>7421.18</v>
      </c>
      <c r="V89" s="4">
        <v>2169.96</v>
      </c>
      <c r="W89" s="3">
        <v>764.47322412929327</v>
      </c>
      <c r="X89" s="3">
        <v>870.02551456763729</v>
      </c>
      <c r="Y89" s="3">
        <v>2390.1205045429874</v>
      </c>
    </row>
    <row r="90" spans="1:25" x14ac:dyDescent="0.4">
      <c r="A90" s="1" t="s">
        <v>89</v>
      </c>
      <c r="B90" s="3">
        <f>$D90+$E90+$F90+$G90</f>
        <v>15026.130000000001</v>
      </c>
      <c r="C90" s="3">
        <f>$E90+$F90+$G90</f>
        <v>2828.72</v>
      </c>
      <c r="D90" s="4">
        <v>12197.41</v>
      </c>
      <c r="E90" s="4">
        <v>1607.77</v>
      </c>
      <c r="F90" s="4">
        <v>599.85</v>
      </c>
      <c r="G90" s="4">
        <v>621.1</v>
      </c>
      <c r="H90" s="3">
        <f>$I90+$J90</f>
        <v>19400.820007480062</v>
      </c>
      <c r="I90" s="3">
        <f>$K90+$L90+$M90</f>
        <v>14817.880000000001</v>
      </c>
      <c r="J90" s="3">
        <f>$N90+$O90+$P90</f>
        <v>4582.9400074800606</v>
      </c>
      <c r="K90" s="4">
        <v>3858.3</v>
      </c>
      <c r="L90" s="4">
        <v>9995.0400000000009</v>
      </c>
      <c r="M90" s="4">
        <v>964.54</v>
      </c>
      <c r="N90" s="3">
        <v>373.53745806279426</v>
      </c>
      <c r="O90" s="3">
        <v>1698.167099437225</v>
      </c>
      <c r="P90" s="3">
        <v>2511.2354499800413</v>
      </c>
      <c r="Q90" s="3">
        <f>$R90+$S90</f>
        <v>29036.612224586832</v>
      </c>
      <c r="R90" s="3">
        <f>$T90+$U90+$V90</f>
        <v>24990.3</v>
      </c>
      <c r="S90" s="3">
        <f>$W90+$X90+$Y90</f>
        <v>4046.3122245868312</v>
      </c>
      <c r="T90" s="4">
        <v>15743.95</v>
      </c>
      <c r="U90" s="4">
        <v>7206.32</v>
      </c>
      <c r="V90" s="4">
        <v>2040.03</v>
      </c>
      <c r="W90" s="3">
        <v>758.97331661154124</v>
      </c>
      <c r="X90" s="3">
        <v>817.73367658120549</v>
      </c>
      <c r="Y90" s="3">
        <v>2469.6052313940845</v>
      </c>
    </row>
    <row r="91" spans="1:25" x14ac:dyDescent="0.4">
      <c r="A91" s="1" t="s">
        <v>90</v>
      </c>
      <c r="B91" s="3">
        <f>$D91+$E91+$F91+$G91</f>
        <v>15975.31</v>
      </c>
      <c r="C91" s="3">
        <f>$E91+$F91+$G91</f>
        <v>2931.72</v>
      </c>
      <c r="D91" s="4">
        <v>13043.59</v>
      </c>
      <c r="E91" s="4">
        <v>1667.99</v>
      </c>
      <c r="F91" s="4">
        <v>625.09</v>
      </c>
      <c r="G91" s="4">
        <v>638.64</v>
      </c>
      <c r="H91" s="3">
        <f>$I91+$J91</f>
        <v>19921.590136924766</v>
      </c>
      <c r="I91" s="3">
        <f>$K91+$L91+$M91</f>
        <v>15627.76</v>
      </c>
      <c r="J91" s="3">
        <f>$N91+$O91+$P91</f>
        <v>4293.8301369247674</v>
      </c>
      <c r="K91" s="4">
        <v>2993.43</v>
      </c>
      <c r="L91" s="4">
        <v>11614.24</v>
      </c>
      <c r="M91" s="4">
        <v>1020.09</v>
      </c>
      <c r="N91" s="3">
        <v>363.58852406646326</v>
      </c>
      <c r="O91" s="3">
        <v>1561.3218626254545</v>
      </c>
      <c r="P91" s="3">
        <v>2368.9197502328502</v>
      </c>
      <c r="Q91" s="3">
        <f>$R91+$S91</f>
        <v>27209.568058327266</v>
      </c>
      <c r="R91" s="3">
        <f>$T91+$U91+$V91</f>
        <v>23217.16</v>
      </c>
      <c r="S91" s="3">
        <f>$W91+$X91+$Y91</f>
        <v>3992.4080583272653</v>
      </c>
      <c r="T91" s="4">
        <v>13866</v>
      </c>
      <c r="U91" s="4">
        <v>7156.91</v>
      </c>
      <c r="V91" s="4">
        <v>2194.25</v>
      </c>
      <c r="W91" s="3">
        <v>711.30836644236319</v>
      </c>
      <c r="X91" s="3">
        <v>824.04485697170355</v>
      </c>
      <c r="Y91" s="3">
        <v>2457.0548349131986</v>
      </c>
    </row>
    <row r="92" spans="1:25" x14ac:dyDescent="0.4">
      <c r="A92" s="1" t="s">
        <v>91</v>
      </c>
      <c r="B92" s="3">
        <f>$D92+$E92+$F92+$G92</f>
        <v>17126.21</v>
      </c>
      <c r="C92" s="3">
        <f>$E92+$F92+$G92</f>
        <v>3365.17</v>
      </c>
      <c r="D92" s="4">
        <v>13761.04</v>
      </c>
      <c r="E92" s="4">
        <v>2077.46</v>
      </c>
      <c r="F92" s="4">
        <v>603.45000000000005</v>
      </c>
      <c r="G92" s="4">
        <v>684.26</v>
      </c>
      <c r="H92" s="3">
        <f>$I92+$J92</f>
        <v>19773.219173561018</v>
      </c>
      <c r="I92" s="3">
        <f>$K92+$L92+$M92</f>
        <v>15610.599999999999</v>
      </c>
      <c r="J92" s="3">
        <f>$N92+$O92+$P92</f>
        <v>4162.6191735610173</v>
      </c>
      <c r="K92" s="4">
        <v>2785.62</v>
      </c>
      <c r="L92" s="4">
        <v>12006.89</v>
      </c>
      <c r="M92" s="4">
        <v>818.09</v>
      </c>
      <c r="N92" s="3">
        <v>388.91308332985119</v>
      </c>
      <c r="O92" s="3">
        <v>1477.7449290299201</v>
      </c>
      <c r="P92" s="3">
        <v>2295.9611612012459</v>
      </c>
      <c r="Q92" s="3">
        <f>$R92+$S92</f>
        <v>26658.026728691635</v>
      </c>
      <c r="R92" s="3">
        <f>$T92+$U92+$V92</f>
        <v>22789.530000000002</v>
      </c>
      <c r="S92" s="3">
        <f>$W92+$X92+$Y92</f>
        <v>3868.4967286916308</v>
      </c>
      <c r="T92" s="4">
        <v>12228.17</v>
      </c>
      <c r="U92" s="4">
        <v>7015.59</v>
      </c>
      <c r="V92" s="4">
        <v>3545.77</v>
      </c>
      <c r="W92" s="3">
        <v>671.89298344759698</v>
      </c>
      <c r="X92" s="3">
        <v>731.18197934357784</v>
      </c>
      <c r="Y92" s="3">
        <v>2465.4217659004557</v>
      </c>
    </row>
    <row r="93" spans="1:25" x14ac:dyDescent="0.4">
      <c r="A93" s="1" t="s">
        <v>92</v>
      </c>
      <c r="B93" s="3">
        <f>$D93+$E93+$F93+$G93</f>
        <v>13999.529999999999</v>
      </c>
      <c r="C93" s="3">
        <f>$E93+$F93+$G93</f>
        <v>2835.27</v>
      </c>
      <c r="D93" s="4">
        <v>11164.26</v>
      </c>
      <c r="E93" s="4">
        <v>1801.24</v>
      </c>
      <c r="F93" s="4">
        <v>507.15</v>
      </c>
      <c r="G93" s="4">
        <v>526.88</v>
      </c>
      <c r="H93" s="3">
        <f>$I93+$J93</f>
        <v>15968.077512147365</v>
      </c>
      <c r="I93" s="3">
        <f>$K93+$L93+$M93</f>
        <v>11834.480000000001</v>
      </c>
      <c r="J93" s="3">
        <f>$N93+$O93+$P93</f>
        <v>4133.5975121473639</v>
      </c>
      <c r="K93" s="4">
        <v>2602.44</v>
      </c>
      <c r="L93" s="4">
        <v>8566.5300000000007</v>
      </c>
      <c r="M93" s="4">
        <v>665.51</v>
      </c>
      <c r="N93" s="3">
        <v>486.59373513074161</v>
      </c>
      <c r="O93" s="3">
        <v>1493.3583155625677</v>
      </c>
      <c r="P93" s="3">
        <v>2153.6454614540548</v>
      </c>
      <c r="Q93" s="3">
        <f>$R93+$S93</f>
        <v>19653.86762081867</v>
      </c>
      <c r="R93" s="3">
        <f>$T93+$U93+$V93</f>
        <v>15641.029999999999</v>
      </c>
      <c r="S93" s="3">
        <f>$W93+$X93+$Y93</f>
        <v>4012.8376208186701</v>
      </c>
      <c r="T93" s="4">
        <v>8397.1299999999992</v>
      </c>
      <c r="U93" s="4">
        <v>5248.45</v>
      </c>
      <c r="V93" s="4">
        <v>1995.45</v>
      </c>
      <c r="W93" s="3">
        <v>713.14160359223251</v>
      </c>
      <c r="X93" s="3">
        <v>853.79690404160772</v>
      </c>
      <c r="Y93" s="3">
        <v>2445.8991131848297</v>
      </c>
    </row>
    <row r="94" spans="1:25" x14ac:dyDescent="0.4">
      <c r="A94" s="1" t="s">
        <v>93</v>
      </c>
      <c r="B94" s="3">
        <f>$D94+$E94+$F94+$G94</f>
        <v>12580.45</v>
      </c>
      <c r="C94" s="3">
        <f>$E94+$F94+$G94</f>
        <v>2358.64</v>
      </c>
      <c r="D94" s="4">
        <v>10221.81</v>
      </c>
      <c r="E94" s="4">
        <v>1389.85</v>
      </c>
      <c r="F94" s="4">
        <v>486.79</v>
      </c>
      <c r="G94" s="4">
        <v>482</v>
      </c>
      <c r="H94" s="3">
        <f>$I94+$J94</f>
        <v>13061.117907017895</v>
      </c>
      <c r="I94" s="3">
        <f>$K94+$L94+$M94</f>
        <v>9032.42</v>
      </c>
      <c r="J94" s="3">
        <f>$N94+$O94+$P94</f>
        <v>4028.6979070178941</v>
      </c>
      <c r="K94" s="4">
        <v>1960.75</v>
      </c>
      <c r="L94" s="4">
        <v>6386.83</v>
      </c>
      <c r="M94" s="4">
        <v>684.84</v>
      </c>
      <c r="N94" s="3">
        <v>377.1552522432782</v>
      </c>
      <c r="O94" s="3">
        <v>1495.1949825399997</v>
      </c>
      <c r="P94" s="3">
        <v>2156.3476722346159</v>
      </c>
      <c r="Q94" s="3">
        <f>$R94+$S94</f>
        <v>19069.804281011184</v>
      </c>
      <c r="R94" s="3">
        <f>$T94+$U94+$V94</f>
        <v>15177.869999999999</v>
      </c>
      <c r="S94" s="3">
        <f>$W94+$X94+$Y94</f>
        <v>3891.9342810111848</v>
      </c>
      <c r="T94" s="4">
        <v>8200.9699999999993</v>
      </c>
      <c r="U94" s="4">
        <v>5254.67</v>
      </c>
      <c r="V94" s="4">
        <v>1722.23</v>
      </c>
      <c r="W94" s="3">
        <v>689.30912850764355</v>
      </c>
      <c r="X94" s="3">
        <v>791.58787925633453</v>
      </c>
      <c r="Y94" s="3">
        <v>2411.0372732472069</v>
      </c>
    </row>
    <row r="95" spans="1:25" x14ac:dyDescent="0.4">
      <c r="A95" s="1" t="s">
        <v>94</v>
      </c>
      <c r="B95" s="3">
        <f>$D95+$E95+$F95+$G95</f>
        <v>75275.280000000013</v>
      </c>
      <c r="C95" s="3">
        <f>$E95+$F95+$G95</f>
        <v>2433.6099999999997</v>
      </c>
      <c r="D95" s="4">
        <v>72841.67</v>
      </c>
      <c r="E95" s="4">
        <v>1470.74</v>
      </c>
      <c r="F95" s="4">
        <v>515.88</v>
      </c>
      <c r="G95" s="4">
        <v>446.99</v>
      </c>
      <c r="H95" s="3">
        <f>$I95+$J95</f>
        <v>11621.055107100259</v>
      </c>
      <c r="I95" s="3">
        <f>$K95+$L95+$M95</f>
        <v>8021.96</v>
      </c>
      <c r="J95" s="3">
        <f>$N95+$O95+$P95</f>
        <v>3599.0951071002582</v>
      </c>
      <c r="K95" s="4">
        <v>1784.09</v>
      </c>
      <c r="L95" s="4">
        <v>5583.55</v>
      </c>
      <c r="M95" s="4">
        <v>654.32000000000005</v>
      </c>
      <c r="N95" s="3">
        <v>401.57536296154518</v>
      </c>
      <c r="O95" s="3">
        <v>1445.6000132786282</v>
      </c>
      <c r="P95" s="3">
        <v>1751.9197308600847</v>
      </c>
      <c r="Q95" s="3">
        <f>$R95+$S95</f>
        <v>18577.977469410976</v>
      </c>
      <c r="R95" s="3">
        <f>$T95+$U95+$V95</f>
        <v>14655.82</v>
      </c>
      <c r="S95" s="3">
        <f>$W95+$X95+$Y95</f>
        <v>3922.1574694109777</v>
      </c>
      <c r="T95" s="4">
        <v>7325.31</v>
      </c>
      <c r="U95" s="4">
        <v>5210.28</v>
      </c>
      <c r="V95" s="4">
        <v>2120.23</v>
      </c>
      <c r="W95" s="3">
        <v>653.56041588076005</v>
      </c>
      <c r="X95" s="3">
        <v>867.32082725886221</v>
      </c>
      <c r="Y95" s="3">
        <v>2401.2762262713554</v>
      </c>
    </row>
    <row r="96" spans="1:25" x14ac:dyDescent="0.4">
      <c r="A96" s="1" t="s">
        <v>95</v>
      </c>
      <c r="B96" s="3">
        <f>$D96+$E96+$F96+$G96</f>
        <v>42617.770000000004</v>
      </c>
      <c r="C96" s="3">
        <f>$E96+$F96+$G96</f>
        <v>2787.2799999999997</v>
      </c>
      <c r="D96" s="4">
        <v>39830.49</v>
      </c>
      <c r="E96" s="4">
        <v>1760.36</v>
      </c>
      <c r="F96" s="4">
        <v>508.12</v>
      </c>
      <c r="G96" s="4">
        <v>518.79999999999995</v>
      </c>
      <c r="H96" s="3">
        <f>$I96+$J96</f>
        <v>10925.501456042817</v>
      </c>
      <c r="I96" s="3">
        <f>$K96+$L96+$M96</f>
        <v>7339.8799999999992</v>
      </c>
      <c r="J96" s="3">
        <f>$N96+$O96+$P96</f>
        <v>3585.621456042817</v>
      </c>
      <c r="K96" s="4">
        <v>1668.75</v>
      </c>
      <c r="L96" s="4">
        <v>5060.57</v>
      </c>
      <c r="M96" s="4">
        <v>610.55999999999995</v>
      </c>
      <c r="N96" s="3">
        <v>389.81753187497225</v>
      </c>
      <c r="O96" s="3">
        <v>1356.5130787507976</v>
      </c>
      <c r="P96" s="3">
        <v>1839.2908454170474</v>
      </c>
      <c r="Q96" s="3">
        <f>$R96+$S96</f>
        <v>17970.72140609871</v>
      </c>
      <c r="R96" s="3">
        <f>$T96+$U96+$V96</f>
        <v>14073.470000000001</v>
      </c>
      <c r="S96" s="3">
        <f>$W96+$X96+$Y96</f>
        <v>3897.2514060987091</v>
      </c>
      <c r="T96" s="4">
        <v>7083.17</v>
      </c>
      <c r="U96" s="4">
        <v>5124.17</v>
      </c>
      <c r="V96" s="4">
        <v>1866.13</v>
      </c>
      <c r="W96" s="3">
        <v>627.89470364630188</v>
      </c>
      <c r="X96" s="3">
        <v>738.39472217033426</v>
      </c>
      <c r="Y96" s="3">
        <v>2530.961980282073</v>
      </c>
    </row>
    <row r="97" spans="1:25" x14ac:dyDescent="0.4">
      <c r="A97" s="1" t="s">
        <v>96</v>
      </c>
      <c r="B97" s="3">
        <f>$D97+$E97+$F97+$G97</f>
        <v>21556.980000000003</v>
      </c>
      <c r="C97" s="3">
        <f>$E97+$F97+$G97</f>
        <v>2915.21</v>
      </c>
      <c r="D97" s="4">
        <v>18641.77</v>
      </c>
      <c r="E97" s="4">
        <v>2097.8200000000002</v>
      </c>
      <c r="F97" s="4">
        <v>382.06</v>
      </c>
      <c r="G97" s="4">
        <v>435.33</v>
      </c>
      <c r="H97" s="3">
        <f>$I97+$J97</f>
        <v>9442.6539069639111</v>
      </c>
      <c r="I97" s="3">
        <f>$K97+$L97+$M97</f>
        <v>6101.27</v>
      </c>
      <c r="J97" s="3">
        <f>$N97+$O97+$P97</f>
        <v>3341.3839069639098</v>
      </c>
      <c r="K97" s="4">
        <v>1503.98</v>
      </c>
      <c r="L97" s="4">
        <v>4032.52</v>
      </c>
      <c r="M97" s="4">
        <v>564.77</v>
      </c>
      <c r="N97" s="3">
        <v>334.6461706225914</v>
      </c>
      <c r="O97" s="3">
        <v>1314.2655406100316</v>
      </c>
      <c r="P97" s="3">
        <v>1692.4721957312865</v>
      </c>
      <c r="Q97" s="3">
        <f>$R97+$S97</f>
        <v>17519.971699125512</v>
      </c>
      <c r="R97" s="3">
        <f>$T97+$U97+$V97</f>
        <v>13841.82</v>
      </c>
      <c r="S97" s="3">
        <f>$W97+$X97+$Y97</f>
        <v>3678.1516991255121</v>
      </c>
      <c r="T97" s="4">
        <v>7323.43</v>
      </c>
      <c r="U97" s="4">
        <v>4742.43</v>
      </c>
      <c r="V97" s="4">
        <v>1775.96</v>
      </c>
      <c r="W97" s="3">
        <v>628.81132222123654</v>
      </c>
      <c r="X97" s="3">
        <v>862.81277174088075</v>
      </c>
      <c r="Y97" s="3">
        <v>2186.527605163395</v>
      </c>
    </row>
    <row r="98" spans="1:25" x14ac:dyDescent="0.4">
      <c r="A98" s="1" t="s">
        <v>97</v>
      </c>
      <c r="B98" s="3">
        <f>$D98+$E98+$F98+$G98</f>
        <v>21834.06</v>
      </c>
      <c r="C98" s="3">
        <f>$E98+$F98+$G98</f>
        <v>2773.66</v>
      </c>
      <c r="D98" s="4">
        <v>19060.400000000001</v>
      </c>
      <c r="E98" s="4">
        <v>1761.74</v>
      </c>
      <c r="F98" s="4">
        <v>469.92</v>
      </c>
      <c r="G98" s="4">
        <v>542</v>
      </c>
      <c r="H98" s="3">
        <f>$I98+$J98</f>
        <v>10805.561227862156</v>
      </c>
      <c r="I98" s="3">
        <f>$K98+$L98+$M98</f>
        <v>7270.67</v>
      </c>
      <c r="J98" s="3">
        <f>$N98+$O98+$P98</f>
        <v>3534.8912278621565</v>
      </c>
      <c r="K98" s="4">
        <v>1842.96</v>
      </c>
      <c r="L98" s="4">
        <v>4702.46</v>
      </c>
      <c r="M98" s="4">
        <v>725.25</v>
      </c>
      <c r="N98" s="3">
        <v>349.11734734452733</v>
      </c>
      <c r="O98" s="3">
        <v>1396.9235683086922</v>
      </c>
      <c r="P98" s="3">
        <v>1788.8503122089371</v>
      </c>
      <c r="Q98" s="3">
        <f>$R98+$S98</f>
        <v>21617.606031602212</v>
      </c>
      <c r="R98" s="3">
        <f>$T98+$U98+$V98</f>
        <v>17944.12</v>
      </c>
      <c r="S98" s="3">
        <f>$W98+$X98+$Y98</f>
        <v>3673.4860316022141</v>
      </c>
      <c r="T98" s="4">
        <v>9405.3799999999992</v>
      </c>
      <c r="U98" s="4">
        <v>6422.31</v>
      </c>
      <c r="V98" s="4">
        <v>2116.4299999999998</v>
      </c>
      <c r="W98" s="3">
        <v>631.56117794604029</v>
      </c>
      <c r="X98" s="3">
        <v>802.40687182812405</v>
      </c>
      <c r="Y98" s="3">
        <v>2239.5179818280499</v>
      </c>
    </row>
    <row r="99" spans="1:25" x14ac:dyDescent="0.4">
      <c r="A99" s="1" t="s">
        <v>98</v>
      </c>
      <c r="B99" s="3">
        <f>$D99+$E99+$F99+$G99</f>
        <v>19381.48</v>
      </c>
      <c r="C99" s="3">
        <f>$E99+$F99+$G99</f>
        <v>2835.49</v>
      </c>
      <c r="D99" s="4">
        <v>16545.990000000002</v>
      </c>
      <c r="E99" s="4">
        <v>1709.44</v>
      </c>
      <c r="F99" s="4">
        <v>526.27</v>
      </c>
      <c r="G99" s="4">
        <v>599.78</v>
      </c>
      <c r="H99" s="3">
        <f>$I99+$J99</f>
        <v>10446.667847884395</v>
      </c>
      <c r="I99" s="3">
        <f>$K99+$L99+$M99</f>
        <v>7096.7000000000007</v>
      </c>
      <c r="J99" s="3">
        <f>$N99+$O99+$P99</f>
        <v>3349.9678478843939</v>
      </c>
      <c r="K99" s="4">
        <v>1814.72</v>
      </c>
      <c r="L99" s="4">
        <v>4515.26</v>
      </c>
      <c r="M99" s="4">
        <v>766.72</v>
      </c>
      <c r="N99" s="3">
        <v>407.00205423227106</v>
      </c>
      <c r="O99" s="3">
        <v>1417.1291946930783</v>
      </c>
      <c r="P99" s="3">
        <v>1525.8365989590445</v>
      </c>
      <c r="Q99" s="3">
        <f>$R99+$S99</f>
        <v>30736.656843621087</v>
      </c>
      <c r="R99" s="3">
        <f>$T99+$U99+$V99</f>
        <v>26893.29</v>
      </c>
      <c r="S99" s="3">
        <f>$W99+$X99+$Y99</f>
        <v>3843.3668436210864</v>
      </c>
      <c r="T99" s="4">
        <v>13537.54</v>
      </c>
      <c r="U99" s="4">
        <v>7232.44</v>
      </c>
      <c r="V99" s="4">
        <v>6123.31</v>
      </c>
      <c r="W99" s="3">
        <v>612.31179573612451</v>
      </c>
      <c r="X99" s="3">
        <v>833.96228710723483</v>
      </c>
      <c r="Y99" s="3">
        <v>2397.0927607777271</v>
      </c>
    </row>
    <row r="100" spans="1:25" x14ac:dyDescent="0.4">
      <c r="A100" s="1" t="s">
        <v>99</v>
      </c>
      <c r="B100" s="3">
        <f>$D100+$E100+$F100+$G100</f>
        <v>15073.24</v>
      </c>
      <c r="C100" s="3">
        <f>$E100+$F100+$G100</f>
        <v>2813.03</v>
      </c>
      <c r="D100" s="4">
        <v>12260.21</v>
      </c>
      <c r="E100" s="4">
        <v>1681.55</v>
      </c>
      <c r="F100" s="4">
        <v>539.79</v>
      </c>
      <c r="G100" s="4">
        <v>591.69000000000005</v>
      </c>
      <c r="H100" s="3">
        <f>$I100+$J100</f>
        <v>9520.1915916599846</v>
      </c>
      <c r="I100" s="3">
        <f>$K100+$L100+$M100</f>
        <v>6431.8200000000006</v>
      </c>
      <c r="J100" s="3">
        <f>$N100+$O100+$P100</f>
        <v>3088.3715916599836</v>
      </c>
      <c r="K100" s="4">
        <v>1792.36</v>
      </c>
      <c r="L100" s="4">
        <v>3925.53</v>
      </c>
      <c r="M100" s="4">
        <v>713.93</v>
      </c>
      <c r="N100" s="3">
        <v>370.82411242743126</v>
      </c>
      <c r="O100" s="3">
        <v>1264.6705713486604</v>
      </c>
      <c r="P100" s="3">
        <v>1452.8769078838918</v>
      </c>
      <c r="Q100" s="3">
        <f>$R100+$S100</f>
        <v>25357.132857903674</v>
      </c>
      <c r="R100" s="3">
        <f>$T100+$U100+$V100</f>
        <v>21469.32</v>
      </c>
      <c r="S100" s="3">
        <f>$W100+$X100+$Y100</f>
        <v>3887.8128579036761</v>
      </c>
      <c r="T100" s="4">
        <v>10069.16</v>
      </c>
      <c r="U100" s="4">
        <v>7829.79</v>
      </c>
      <c r="V100" s="4">
        <v>3570.37</v>
      </c>
      <c r="W100" s="3">
        <v>583.89622777686259</v>
      </c>
      <c r="X100" s="3">
        <v>807.81648978236387</v>
      </c>
      <c r="Y100" s="3">
        <v>2496.1001403444498</v>
      </c>
    </row>
    <row r="101" spans="1:25" x14ac:dyDescent="0.4">
      <c r="A101" s="1" t="s">
        <v>100</v>
      </c>
      <c r="B101" s="3">
        <f>$D101+$E101+$F101+$G101</f>
        <v>13101.210000000001</v>
      </c>
      <c r="C101" s="3">
        <f>$E101+$F101+$G101</f>
        <v>2467.8199999999997</v>
      </c>
      <c r="D101" s="4">
        <v>10633.39</v>
      </c>
      <c r="E101" s="4">
        <v>1457.27</v>
      </c>
      <c r="F101" s="4">
        <v>524.02</v>
      </c>
      <c r="G101" s="4">
        <v>486.53</v>
      </c>
      <c r="H101" s="3">
        <f>$I101+$J101</f>
        <v>8853.7020898683822</v>
      </c>
      <c r="I101" s="3">
        <f>$K101+$L101+$M101</f>
        <v>5920.8200000000006</v>
      </c>
      <c r="J101" s="3">
        <f>$N101+$O101+$P101</f>
        <v>2932.8820898683816</v>
      </c>
      <c r="K101" s="4">
        <v>1689.97</v>
      </c>
      <c r="L101" s="4">
        <v>3486.75</v>
      </c>
      <c r="M101" s="4">
        <v>744.1</v>
      </c>
      <c r="N101" s="3">
        <v>379.8685978786412</v>
      </c>
      <c r="O101" s="3">
        <v>1233.4441798888038</v>
      </c>
      <c r="P101" s="3">
        <v>1319.5693121009367</v>
      </c>
      <c r="Q101" s="3">
        <f>$R101+$S101</f>
        <v>22698.940289513412</v>
      </c>
      <c r="R101" s="3">
        <f>$T101+$U101+$V101</f>
        <v>18953.280000000002</v>
      </c>
      <c r="S101" s="3">
        <f>$W101+$X101+$Y101</f>
        <v>3745.6602895134074</v>
      </c>
      <c r="T101" s="4">
        <v>8107.92</v>
      </c>
      <c r="U101" s="4">
        <v>7355.46</v>
      </c>
      <c r="V101" s="4">
        <v>3489.9</v>
      </c>
      <c r="W101" s="3">
        <v>602.2287953436994</v>
      </c>
      <c r="X101" s="3">
        <v>856.50183468707269</v>
      </c>
      <c r="Y101" s="3">
        <v>2286.9296594826355</v>
      </c>
    </row>
    <row r="102" spans="1:25" x14ac:dyDescent="0.4">
      <c r="A102" s="1" t="s">
        <v>101</v>
      </c>
      <c r="B102" s="3">
        <f>$D102+$E102+$F102+$G102</f>
        <v>11887.539999999999</v>
      </c>
      <c r="C102" s="3">
        <f>$E102+$F102+$G102</f>
        <v>2284.7200000000003</v>
      </c>
      <c r="D102" s="4">
        <v>9602.82</v>
      </c>
      <c r="E102" s="4">
        <v>1242.22</v>
      </c>
      <c r="F102" s="4">
        <v>566.62</v>
      </c>
      <c r="G102" s="4">
        <v>475.88</v>
      </c>
      <c r="H102" s="3">
        <f>$I102+$J102</f>
        <v>8681.0210741581086</v>
      </c>
      <c r="I102" s="3">
        <f>$K102+$L102+$M102</f>
        <v>5797.18</v>
      </c>
      <c r="J102" s="3">
        <f>$N102+$O102+$P102</f>
        <v>2883.8410741581088</v>
      </c>
      <c r="K102" s="4">
        <v>1740.49</v>
      </c>
      <c r="L102" s="4">
        <v>3220.28</v>
      </c>
      <c r="M102" s="4">
        <v>836.41</v>
      </c>
      <c r="N102" s="3">
        <v>381.67749496888325</v>
      </c>
      <c r="O102" s="3">
        <v>1165.4806328259169</v>
      </c>
      <c r="P102" s="3">
        <v>1336.6829463633085</v>
      </c>
      <c r="Q102" s="3">
        <f>$R102+$S102</f>
        <v>21521.107571074768</v>
      </c>
      <c r="R102" s="3">
        <f>$T102+$U102+$V102</f>
        <v>17810.48</v>
      </c>
      <c r="S102" s="3">
        <f>$W102+$X102+$Y102</f>
        <v>3710.6275710747705</v>
      </c>
      <c r="T102" s="4">
        <v>7682.83</v>
      </c>
      <c r="U102" s="4">
        <v>7290.63</v>
      </c>
      <c r="V102" s="4">
        <v>2837.02</v>
      </c>
      <c r="W102" s="3">
        <v>623.31141470348439</v>
      </c>
      <c r="X102" s="3">
        <v>867.32082725886221</v>
      </c>
      <c r="Y102" s="3">
        <v>2219.9953291124239</v>
      </c>
    </row>
    <row r="103" spans="1:25" x14ac:dyDescent="0.4">
      <c r="A103" s="1" t="s">
        <v>102</v>
      </c>
      <c r="B103" s="3">
        <f>$D103+$E103+$F103+$G103</f>
        <v>11862.73</v>
      </c>
      <c r="C103" s="3">
        <f>$E103+$F103+$G103</f>
        <v>2234.77</v>
      </c>
      <c r="D103" s="4">
        <v>9627.9599999999991</v>
      </c>
      <c r="E103" s="4">
        <v>1164.44</v>
      </c>
      <c r="F103" s="4">
        <v>585.42999999999995</v>
      </c>
      <c r="G103" s="4">
        <v>484.9</v>
      </c>
      <c r="H103" s="3">
        <f>$I103+$J103</f>
        <v>8939.4291848880275</v>
      </c>
      <c r="I103" s="3">
        <f>$K103+$L103+$M103</f>
        <v>5959.07</v>
      </c>
      <c r="J103" s="3">
        <f>$N103+$O103+$P103</f>
        <v>2980.3591848880269</v>
      </c>
      <c r="K103" s="4">
        <v>1863.54</v>
      </c>
      <c r="L103" s="4">
        <v>3467</v>
      </c>
      <c r="M103" s="4">
        <v>628.53</v>
      </c>
      <c r="N103" s="3">
        <v>372.63300951767326</v>
      </c>
      <c r="O103" s="3">
        <v>1174.665112529394</v>
      </c>
      <c r="P103" s="3">
        <v>1433.0610628409593</v>
      </c>
      <c r="Q103" s="3">
        <f>$R103+$S103</f>
        <v>20702.789615762191</v>
      </c>
      <c r="R103" s="3">
        <f>$T103+$U103+$V103</f>
        <v>17045.900000000001</v>
      </c>
      <c r="S103" s="3">
        <f>$W103+$X103+$Y103</f>
        <v>3656.8896157621907</v>
      </c>
      <c r="T103" s="4">
        <v>7159.26</v>
      </c>
      <c r="U103" s="4">
        <v>7282.81</v>
      </c>
      <c r="V103" s="4">
        <v>2603.83</v>
      </c>
      <c r="W103" s="3">
        <v>567.39670129175056</v>
      </c>
      <c r="X103" s="3">
        <v>812.32430196365556</v>
      </c>
      <c r="Y103" s="3">
        <v>2277.1686125067845</v>
      </c>
    </row>
    <row r="104" spans="1:25" x14ac:dyDescent="0.4">
      <c r="A104" s="1" t="s">
        <v>103</v>
      </c>
      <c r="B104" s="3">
        <f>$D104+$E104+$F104+$G104</f>
        <v>11467.300000000001</v>
      </c>
      <c r="C104" s="3">
        <f>$E104+$F104+$G104</f>
        <v>2109.7200000000003</v>
      </c>
      <c r="D104" s="4">
        <v>9357.58</v>
      </c>
      <c r="E104" s="4">
        <v>1034.44</v>
      </c>
      <c r="F104" s="4">
        <v>596.01</v>
      </c>
      <c r="G104" s="4">
        <v>479.27</v>
      </c>
      <c r="H104" s="3">
        <f>$I104+$J104</f>
        <v>8121.9916721509962</v>
      </c>
      <c r="I104" s="3">
        <f>$K104+$L104+$M104</f>
        <v>5372.6600000000008</v>
      </c>
      <c r="J104" s="3">
        <f>$N104+$O104+$P104</f>
        <v>2749.3316721509955</v>
      </c>
      <c r="K104" s="4">
        <v>1643.46</v>
      </c>
      <c r="L104" s="4">
        <v>2947.82</v>
      </c>
      <c r="M104" s="4">
        <v>781.38</v>
      </c>
      <c r="N104" s="3">
        <v>407.00205423227106</v>
      </c>
      <c r="O104" s="3">
        <v>1191.1966417480382</v>
      </c>
      <c r="P104" s="3">
        <v>1151.1329761706863</v>
      </c>
      <c r="Q104" s="3">
        <f>$R104+$S104</f>
        <v>22241.076043209046</v>
      </c>
      <c r="R104" s="3">
        <f>$T104+$U104+$V104</f>
        <v>18627.36</v>
      </c>
      <c r="S104" s="3">
        <f>$W104+$X104+$Y104</f>
        <v>3613.7160432090468</v>
      </c>
      <c r="T104" s="4">
        <v>7637.56</v>
      </c>
      <c r="U104" s="4">
        <v>7109.65</v>
      </c>
      <c r="V104" s="4">
        <v>3880.15</v>
      </c>
      <c r="W104" s="3">
        <v>627.89470364630188</v>
      </c>
      <c r="X104" s="3">
        <v>797.8990596468326</v>
      </c>
      <c r="Y104" s="3">
        <v>2187.9222799159124</v>
      </c>
    </row>
    <row r="105" spans="1:25" x14ac:dyDescent="0.4">
      <c r="A105" s="1" t="s">
        <v>104</v>
      </c>
      <c r="B105" s="3">
        <f>$D105+$E105+$F105+$G105</f>
        <v>11612.43</v>
      </c>
      <c r="C105" s="3">
        <f>$E105+$F105+$G105</f>
        <v>2010.78</v>
      </c>
      <c r="D105" s="4">
        <v>9601.65</v>
      </c>
      <c r="E105" s="4">
        <v>1018.89</v>
      </c>
      <c r="F105" s="4">
        <v>541.94000000000005</v>
      </c>
      <c r="G105" s="4">
        <v>449.95</v>
      </c>
      <c r="H105" s="3">
        <f>$I105+$J105</f>
        <v>8110.986643000444</v>
      </c>
      <c r="I105" s="3">
        <f>$K105+$L105+$M105</f>
        <v>5261.1100000000006</v>
      </c>
      <c r="J105" s="3">
        <f>$N105+$O105+$P105</f>
        <v>2849.8766430004434</v>
      </c>
      <c r="K105" s="4">
        <v>1682.51</v>
      </c>
      <c r="L105" s="4">
        <v>2844.91</v>
      </c>
      <c r="M105" s="4">
        <v>733.69</v>
      </c>
      <c r="N105" s="3">
        <v>350.92624443476939</v>
      </c>
      <c r="O105" s="3">
        <v>1185.6858776048641</v>
      </c>
      <c r="P105" s="3">
        <v>1313.2645209608102</v>
      </c>
      <c r="Q105" s="3">
        <f>$R105+$S105</f>
        <v>24012.392011904412</v>
      </c>
      <c r="R105" s="3">
        <f>$T105+$U105+$V105</f>
        <v>20366.25</v>
      </c>
      <c r="S105" s="3">
        <f>$W105+$X105+$Y105</f>
        <v>3646.1420119044114</v>
      </c>
      <c r="T105" s="4">
        <v>6640.35</v>
      </c>
      <c r="U105" s="4">
        <v>7216.9</v>
      </c>
      <c r="V105" s="4">
        <v>6509</v>
      </c>
      <c r="W105" s="3">
        <v>727.80769685933092</v>
      </c>
      <c r="X105" s="3">
        <v>770.85145654901339</v>
      </c>
      <c r="Y105" s="3">
        <v>2147.4828584960669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2026-08-04T15:05:14Z</dcterms:created>
  <dcterms:modified xsi:type="dcterms:W3CDTF">2026-08-05T01:31:44Z</dcterms:modified>
</cp:coreProperties>
</file>