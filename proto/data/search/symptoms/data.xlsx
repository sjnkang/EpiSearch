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ymtoms\"/>
    </mc:Choice>
  </mc:AlternateContent>
  <xr:revisionPtr revIDLastSave="0" documentId="13_ncr:1_{68626B61-99D9-43B7-955D-4CDEBE90B520}" xr6:coauthVersionLast="47" xr6:coauthVersionMax="47" xr10:uidLastSave="{00000000-0000-0000-0000-000000000000}"/>
  <bookViews>
    <workbookView xWindow="-1000" yWindow="-12310" windowWidth="17280" windowHeight="11090" xr2:uid="{2C15ED96-DDD3-4D6A-BF10-940DD381F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4" i="1" l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3" i="1"/>
  <c r="T23" i="1" l="1"/>
  <c r="U23" i="1"/>
  <c r="V23" i="1"/>
  <c r="W23" i="1"/>
  <c r="X23" i="1"/>
  <c r="T22" i="1"/>
  <c r="U22" i="1"/>
  <c r="V22" i="1"/>
  <c r="W22" i="1"/>
  <c r="X22" i="1"/>
  <c r="T21" i="1"/>
  <c r="U21" i="1"/>
  <c r="V21" i="1"/>
  <c r="W21" i="1"/>
  <c r="X21" i="1"/>
  <c r="T20" i="1"/>
  <c r="U20" i="1"/>
  <c r="V20" i="1"/>
  <c r="W20" i="1"/>
  <c r="X20" i="1"/>
  <c r="S21" i="1"/>
  <c r="S22" i="1"/>
  <c r="S23" i="1"/>
  <c r="S20" i="1"/>
  <c r="T27" i="1"/>
  <c r="U27" i="1"/>
  <c r="V27" i="1"/>
  <c r="W27" i="1"/>
  <c r="X27" i="1"/>
  <c r="T26" i="1"/>
  <c r="U26" i="1"/>
  <c r="V26" i="1"/>
  <c r="W26" i="1"/>
  <c r="X26" i="1"/>
  <c r="T25" i="1"/>
  <c r="U25" i="1"/>
  <c r="V25" i="1"/>
  <c r="W25" i="1"/>
  <c r="X25" i="1"/>
  <c r="T24" i="1"/>
  <c r="U24" i="1"/>
  <c r="V24" i="1"/>
  <c r="W24" i="1"/>
  <c r="X24" i="1"/>
  <c r="S25" i="1"/>
  <c r="S26" i="1"/>
  <c r="S27" i="1"/>
  <c r="S24" i="1"/>
  <c r="T32" i="1"/>
  <c r="U32" i="1"/>
  <c r="V32" i="1"/>
  <c r="W32" i="1"/>
  <c r="X32" i="1"/>
  <c r="T31" i="1"/>
  <c r="U31" i="1"/>
  <c r="V31" i="1"/>
  <c r="W31" i="1"/>
  <c r="X31" i="1"/>
  <c r="X30" i="1"/>
  <c r="T30" i="1"/>
  <c r="U30" i="1"/>
  <c r="V30" i="1"/>
  <c r="W30" i="1"/>
  <c r="T29" i="1"/>
  <c r="U29" i="1"/>
  <c r="V29" i="1"/>
  <c r="W29" i="1"/>
  <c r="X29" i="1"/>
  <c r="T28" i="1"/>
  <c r="U28" i="1"/>
  <c r="V28" i="1"/>
  <c r="W28" i="1"/>
  <c r="X28" i="1"/>
  <c r="S29" i="1"/>
  <c r="S30" i="1"/>
  <c r="S31" i="1"/>
  <c r="S32" i="1"/>
  <c r="S28" i="1"/>
  <c r="T36" i="1"/>
  <c r="U36" i="1"/>
  <c r="V36" i="1"/>
  <c r="W36" i="1"/>
  <c r="X36" i="1"/>
  <c r="T35" i="1"/>
  <c r="U35" i="1"/>
  <c r="V35" i="1"/>
  <c r="W35" i="1"/>
  <c r="X35" i="1"/>
  <c r="T34" i="1"/>
  <c r="U34" i="1"/>
  <c r="V34" i="1"/>
  <c r="W34" i="1"/>
  <c r="X34" i="1"/>
  <c r="T33" i="1"/>
  <c r="U33" i="1"/>
  <c r="V33" i="1"/>
  <c r="W33" i="1"/>
  <c r="X33" i="1"/>
  <c r="S34" i="1"/>
  <c r="S35" i="1"/>
  <c r="S36" i="1"/>
  <c r="S33" i="1"/>
  <c r="T40" i="1"/>
  <c r="U40" i="1"/>
  <c r="V40" i="1"/>
  <c r="W40" i="1"/>
  <c r="X40" i="1"/>
  <c r="T39" i="1"/>
  <c r="U39" i="1"/>
  <c r="V39" i="1"/>
  <c r="W39" i="1"/>
  <c r="X39" i="1"/>
  <c r="X38" i="1"/>
  <c r="T38" i="1"/>
  <c r="U38" i="1"/>
  <c r="V38" i="1"/>
  <c r="W38" i="1"/>
  <c r="T37" i="1"/>
  <c r="U37" i="1"/>
  <c r="V37" i="1"/>
  <c r="W37" i="1"/>
  <c r="X37" i="1"/>
  <c r="S38" i="1"/>
  <c r="S39" i="1"/>
  <c r="S40" i="1"/>
  <c r="S37" i="1"/>
  <c r="T45" i="1"/>
  <c r="U45" i="1"/>
  <c r="V45" i="1"/>
  <c r="W45" i="1"/>
  <c r="X45" i="1"/>
  <c r="T44" i="1"/>
  <c r="U44" i="1"/>
  <c r="V44" i="1"/>
  <c r="W44" i="1"/>
  <c r="X44" i="1"/>
  <c r="T43" i="1"/>
  <c r="U43" i="1"/>
  <c r="V43" i="1"/>
  <c r="W43" i="1"/>
  <c r="X43" i="1"/>
  <c r="T42" i="1"/>
  <c r="U42" i="1"/>
  <c r="V42" i="1"/>
  <c r="W42" i="1"/>
  <c r="X42" i="1"/>
  <c r="S43" i="1"/>
  <c r="S44" i="1"/>
  <c r="S45" i="1"/>
  <c r="S46" i="1"/>
  <c r="S47" i="1"/>
  <c r="S48" i="1"/>
  <c r="S49" i="1"/>
  <c r="S50" i="1"/>
  <c r="S51" i="1"/>
  <c r="S52" i="1"/>
  <c r="S53" i="1"/>
  <c r="T41" i="1"/>
  <c r="U41" i="1"/>
  <c r="V41" i="1"/>
  <c r="W41" i="1"/>
  <c r="X41" i="1"/>
  <c r="S42" i="1"/>
  <c r="S41" i="1"/>
  <c r="U53" i="1"/>
  <c r="V53" i="1"/>
  <c r="W53" i="1"/>
  <c r="X53" i="1"/>
  <c r="U52" i="1"/>
  <c r="V52" i="1"/>
  <c r="W52" i="1"/>
  <c r="X52" i="1"/>
  <c r="U51" i="1"/>
  <c r="V51" i="1"/>
  <c r="W51" i="1"/>
  <c r="X51" i="1"/>
  <c r="V50" i="1"/>
  <c r="W50" i="1"/>
  <c r="X50" i="1"/>
  <c r="T51" i="1"/>
  <c r="T52" i="1"/>
  <c r="T53" i="1"/>
  <c r="T50" i="1"/>
  <c r="U50" i="1"/>
  <c r="W47" i="1"/>
  <c r="W48" i="1"/>
  <c r="W49" i="1"/>
  <c r="V47" i="1"/>
  <c r="V48" i="1"/>
  <c r="V49" i="1"/>
  <c r="U47" i="1"/>
  <c r="U48" i="1"/>
  <c r="U49" i="1"/>
  <c r="T47" i="1"/>
  <c r="T48" i="1"/>
  <c r="T49" i="1"/>
  <c r="X47" i="1"/>
  <c r="X48" i="1"/>
  <c r="X49" i="1"/>
  <c r="T46" i="1"/>
  <c r="U46" i="1"/>
  <c r="V46" i="1"/>
  <c r="W46" i="1"/>
  <c r="X46" i="1"/>
  <c r="X14" i="1"/>
  <c r="X12" i="1"/>
  <c r="X13" i="1"/>
  <c r="W12" i="1"/>
  <c r="W13" i="1"/>
  <c r="W14" i="1"/>
  <c r="V12" i="1"/>
  <c r="V13" i="1"/>
  <c r="V14" i="1"/>
  <c r="U12" i="1"/>
  <c r="U13" i="1"/>
  <c r="U14" i="1"/>
  <c r="X19" i="1"/>
  <c r="X16" i="1"/>
  <c r="X17" i="1"/>
  <c r="X18" i="1"/>
  <c r="W16" i="1"/>
  <c r="W17" i="1"/>
  <c r="W18" i="1"/>
  <c r="W19" i="1"/>
  <c r="V16" i="1"/>
  <c r="V17" i="1"/>
  <c r="V18" i="1"/>
  <c r="V19" i="1"/>
  <c r="U16" i="1"/>
  <c r="U17" i="1"/>
  <c r="U18" i="1"/>
  <c r="U19" i="1"/>
  <c r="T16" i="1"/>
  <c r="T17" i="1"/>
  <c r="T18" i="1"/>
  <c r="T19" i="1"/>
  <c r="T15" i="1"/>
  <c r="U15" i="1"/>
  <c r="V15" i="1"/>
  <c r="W15" i="1"/>
  <c r="X15" i="1"/>
  <c r="S16" i="1"/>
  <c r="S17" i="1"/>
  <c r="S18" i="1"/>
  <c r="S19" i="1"/>
  <c r="S15" i="1"/>
  <c r="T12" i="1"/>
  <c r="T13" i="1"/>
  <c r="T14" i="1"/>
  <c r="S12" i="1"/>
  <c r="S13" i="1"/>
  <c r="S14" i="1"/>
  <c r="T11" i="1"/>
  <c r="U11" i="1"/>
  <c r="V11" i="1"/>
  <c r="W11" i="1"/>
  <c r="X11" i="1"/>
  <c r="S11" i="1"/>
  <c r="T10" i="1"/>
  <c r="U10" i="1"/>
  <c r="V10" i="1"/>
  <c r="W10" i="1"/>
  <c r="X10" i="1"/>
  <c r="T9" i="1"/>
  <c r="U9" i="1"/>
  <c r="V9" i="1"/>
  <c r="W9" i="1"/>
  <c r="X9" i="1"/>
  <c r="T8" i="1"/>
  <c r="U8" i="1"/>
  <c r="V8" i="1"/>
  <c r="W8" i="1"/>
  <c r="X8" i="1"/>
  <c r="T7" i="1"/>
  <c r="U7" i="1"/>
  <c r="V7" i="1"/>
  <c r="W7" i="1"/>
  <c r="X7" i="1"/>
  <c r="S8" i="1"/>
  <c r="S9" i="1"/>
  <c r="S10" i="1"/>
  <c r="S7" i="1"/>
  <c r="T6" i="1"/>
  <c r="U6" i="1"/>
  <c r="V6" i="1"/>
  <c r="W6" i="1"/>
  <c r="X6" i="1"/>
  <c r="T5" i="1"/>
  <c r="U5" i="1"/>
  <c r="V5" i="1"/>
  <c r="W5" i="1"/>
  <c r="X5" i="1"/>
  <c r="T4" i="1"/>
  <c r="U4" i="1"/>
  <c r="V4" i="1"/>
  <c r="W4" i="1"/>
  <c r="X4" i="1"/>
  <c r="T3" i="1"/>
  <c r="U3" i="1"/>
  <c r="V3" i="1"/>
  <c r="W3" i="1"/>
  <c r="X3" i="1"/>
  <c r="S3" i="1"/>
  <c r="S4" i="1"/>
  <c r="S5" i="1"/>
  <c r="S6" i="1"/>
  <c r="T2" i="1"/>
  <c r="U2" i="1"/>
  <c r="V2" i="1"/>
  <c r="W2" i="1"/>
  <c r="X2" i="1"/>
  <c r="S2" i="1"/>
</calcChain>
</file>

<file path=xl/sharedStrings.xml><?xml version="1.0" encoding="utf-8"?>
<sst xmlns="http://schemas.openxmlformats.org/spreadsheetml/2006/main" count="360" uniqueCount="128">
  <si>
    <t>고열</t>
    <phoneticPr fontId="1" type="noConversion"/>
  </si>
  <si>
    <t>근육통</t>
    <phoneticPr fontId="1" type="noConversion"/>
  </si>
  <si>
    <t>오한</t>
    <phoneticPr fontId="1" type="noConversion"/>
  </si>
  <si>
    <t>구토</t>
    <phoneticPr fontId="1" type="noConversion"/>
  </si>
  <si>
    <t>물설사</t>
    <phoneticPr fontId="1" type="noConversion"/>
  </si>
  <si>
    <t>복통</t>
    <phoneticPr fontId="1" type="noConversion"/>
  </si>
  <si>
    <t>노로바이러스</t>
    <phoneticPr fontId="1" type="noConversion"/>
  </si>
  <si>
    <t>인플루엔자</t>
    <phoneticPr fontId="1" type="noConversion"/>
  </si>
  <si>
    <t>합계</t>
    <phoneticPr fontId="1" type="noConversion"/>
  </si>
  <si>
    <t>평균</t>
    <phoneticPr fontId="1" type="noConversion"/>
  </si>
  <si>
    <t>누계</t>
    <phoneticPr fontId="1" type="noConversion"/>
  </si>
  <si>
    <t>개수</t>
    <phoneticPr fontId="1" type="noConversion"/>
  </si>
  <si>
    <t>인플루엔자</t>
  </si>
  <si>
    <t>노로바이러스</t>
  </si>
  <si>
    <t>Week</t>
  </si>
  <si>
    <t>고열</t>
  </si>
  <si>
    <t>근육통</t>
  </si>
  <si>
    <t>오한</t>
  </si>
  <si>
    <t>구토</t>
  </si>
  <si>
    <t>물설사</t>
  </si>
  <si>
    <t>복통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</si>
  <si>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</si>
  <si>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</si>
  <si>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</si>
  <si>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</si>
  <si>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</si>
  <si>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</si>
  <si>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</si>
  <si>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</si>
  <si>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</si>
  <si>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</si>
  <si>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</si>
  <si>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</si>
  <si>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</si>
  <si>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</si>
  <si>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</si>
  <si>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</si>
  <si>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</si>
  <si>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</si>
  <si>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</si>
  <si>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</si>
  <si>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</si>
  <si>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</si>
  <si>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</si>
  <si>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</si>
  <si>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</si>
  <si>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</si>
  <si>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</si>
  <si>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</si>
  <si>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</si>
  <si>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</si>
  <si>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</si>
  <si>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</si>
  <si>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</si>
  <si>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</si>
  <si>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</si>
  <si>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</si>
  <si>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</si>
  <si>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</si>
  <si>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</si>
  <si>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</si>
  <si>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</si>
  <si>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</si>
  <si>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</si>
  <si>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</si>
  <si>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</si>
  <si>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</si>
  <si>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</si>
  <si>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</si>
  <si>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</si>
  <si>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</si>
  <si>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</si>
  <si>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</si>
  <si>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</si>
  <si>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</si>
  <si>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</si>
  <si>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</si>
  <si>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</si>
  <si>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</si>
  <si>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</si>
  <si>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</si>
  <si>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</si>
  <si>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</si>
  <si>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</si>
  <si>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</si>
  <si>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</si>
  <si>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</si>
  <si>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</si>
  <si>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</si>
  <si>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</si>
  <si>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</si>
  <si>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</si>
  <si>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</si>
  <si>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</si>
  <si>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</si>
  <si>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</si>
  <si>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</si>
  <si>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</si>
  <si>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</si>
  <si>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</si>
  <si>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</si>
  <si>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</si>
  <si>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</si>
  <si>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</si>
  <si>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</si>
  <si>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</si>
  <si>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</si>
  <si>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</si>
  <si>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</si>
  <si>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</si>
  <si>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</si>
  <si>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</si>
  <si>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</si>
  <si>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</si>
  <si>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</si>
  <si>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</si>
  <si>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</si>
  <si>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</si>
  <si>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</si>
  <si>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</si>
  <si>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</si>
  <si>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</si>
  <si>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</si>
  <si>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</si>
  <si>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</si>
  <si>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Month</t>
    <phoneticPr fontId="1" type="noConversion"/>
  </si>
  <si>
    <t>상대값</t>
    <phoneticPr fontId="1" type="noConversion"/>
  </si>
  <si>
    <t>절대값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</si>
</sst>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180" fontId="2" fillId="0" borderId="0" xfId="1" applyNumberFormat="1">
      <alignment vertical="center"/>
    </xf>
    <xf numFmtId="0" fontId="2" fillId="0" borderId="0" xfId="1" applyNumberFormat="1">
      <alignment vertical="center"/>
    </xf>
    <xf numFmtId="0" fontId="2" fillId="0" borderId="0" xfId="1" applyFill="1">
      <alignment vertical="center"/>
    </xf>
    <xf numFmtId="1" fontId="0" fillId="0" borderId="0" xfId="0" applyNumberFormat="1">
      <alignment vertical="center"/>
    </xf>
  </cellXfs>
  <cellStyles count="2">
    <cellStyle name="표준" xfId="0" builtinId="0"/>
    <cellStyle name="표준 2" xfId="1" xr:uid="{8A554308-3569-4701-BE46-5B35969AC0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E248-3F99-4AD8-A9CC-2D242007F990}">
  <dimension ref="A1:AN158"/>
  <sheetViews>
    <sheetView tabSelected="1" topLeftCell="E1" zoomScale="55" zoomScaleNormal="55" workbookViewId="0">
      <selection activeCell="AI107" sqref="AI107"/>
    </sheetView>
  </sheetViews>
  <sheetFormatPr defaultRowHeight="17.399999999999999" x14ac:dyDescent="0.4"/>
  <cols>
    <col min="1" max="1" width="10.8984375" bestFit="1" customWidth="1"/>
    <col min="9" max="9" width="11.59765625" customWidth="1"/>
    <col min="17" max="17" width="10.5" customWidth="1"/>
  </cols>
  <sheetData>
    <row r="1" spans="1:40" x14ac:dyDescent="0.4">
      <c r="B1" s="1" t="s">
        <v>7</v>
      </c>
      <c r="C1" s="1"/>
      <c r="D1" s="1"/>
      <c r="E1" s="1" t="s">
        <v>6</v>
      </c>
      <c r="F1" s="1"/>
      <c r="G1" s="1"/>
      <c r="J1" t="s">
        <v>126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R1" s="6" t="s">
        <v>127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Z1" s="2" t="s">
        <v>126</v>
      </c>
      <c r="AA1" s="2"/>
      <c r="AB1" s="3" t="s">
        <v>12</v>
      </c>
      <c r="AC1" s="3"/>
      <c r="AD1" s="3"/>
      <c r="AE1" s="3" t="s">
        <v>13</v>
      </c>
      <c r="AF1" s="3"/>
      <c r="AH1" s="2"/>
      <c r="AI1" s="2"/>
      <c r="AJ1" s="3" t="s">
        <v>12</v>
      </c>
      <c r="AK1" s="3"/>
      <c r="AL1" s="3"/>
      <c r="AM1" s="3" t="s">
        <v>13</v>
      </c>
      <c r="AN1" s="3"/>
    </row>
    <row r="2" spans="1:40" x14ac:dyDescent="0.4">
      <c r="A2" t="s">
        <v>125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s="1">
        <v>7</v>
      </c>
      <c r="J2" s="2" t="s">
        <v>73</v>
      </c>
      <c r="K2" s="5">
        <v>34.545450000000002</v>
      </c>
      <c r="L2" s="5">
        <v>49.867620000000002</v>
      </c>
      <c r="M2" s="5">
        <v>15.60277</v>
      </c>
      <c r="N2" s="5">
        <v>46.797559999999997</v>
      </c>
      <c r="O2" s="5">
        <v>72.471279999999993</v>
      </c>
      <c r="P2" s="2">
        <v>63.563760000000002</v>
      </c>
      <c r="R2" s="2" t="s">
        <v>73</v>
      </c>
      <c r="S2" s="7">
        <f>B$3/SUM(K$2:K$6)*K2</f>
        <v>721.75056579002353</v>
      </c>
      <c r="T2" s="7">
        <f>C$3/SUM(L$2:L$6)*L2</f>
        <v>1902.9755017064433</v>
      </c>
      <c r="U2" s="7">
        <f t="shared" ref="T2:X6" si="0">D$3/SUM(M$2:M$6)*M2</f>
        <v>1719.4932014933502</v>
      </c>
      <c r="V2" s="7">
        <f t="shared" si="0"/>
        <v>917.55107502925216</v>
      </c>
      <c r="W2" s="7">
        <f t="shared" si="0"/>
        <v>1763.4921391513703</v>
      </c>
      <c r="X2" s="7">
        <f t="shared" si="0"/>
        <v>3551.7135916293751</v>
      </c>
      <c r="Z2" s="2" t="s">
        <v>14</v>
      </c>
      <c r="AA2" s="2" t="s">
        <v>15</v>
      </c>
      <c r="AB2" s="2" t="s">
        <v>16</v>
      </c>
      <c r="AC2" s="2" t="s">
        <v>17</v>
      </c>
      <c r="AD2" s="2" t="s">
        <v>18</v>
      </c>
      <c r="AE2" s="2" t="s">
        <v>19</v>
      </c>
      <c r="AF2" s="2" t="s">
        <v>20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</row>
    <row r="3" spans="1:40" x14ac:dyDescent="0.4">
      <c r="A3">
        <v>7</v>
      </c>
      <c r="B3">
        <v>3720</v>
      </c>
      <c r="C3">
        <v>9840</v>
      </c>
      <c r="D3">
        <v>9500</v>
      </c>
      <c r="E3">
        <v>4750</v>
      </c>
      <c r="F3">
        <v>8840</v>
      </c>
      <c r="G3">
        <v>17700</v>
      </c>
      <c r="I3" s="1"/>
      <c r="J3" s="2" t="s">
        <v>74</v>
      </c>
      <c r="K3" s="5">
        <v>37.792200000000001</v>
      </c>
      <c r="L3" s="5">
        <v>51.744880000000002</v>
      </c>
      <c r="M3" s="5">
        <v>16.689820000000001</v>
      </c>
      <c r="N3" s="5">
        <v>48.807850000000002</v>
      </c>
      <c r="O3" s="5">
        <v>72.508330000000001</v>
      </c>
      <c r="P3" s="2">
        <v>69.727969999999999</v>
      </c>
      <c r="R3" s="2" t="s">
        <v>74</v>
      </c>
      <c r="S3" s="7">
        <f t="shared" ref="S3:S20" si="1">B$3/SUM(K$2:K$6)*K3</f>
        <v>789.58420667409814</v>
      </c>
      <c r="T3" s="7">
        <f t="shared" ref="T3:T6" si="2">C$3/SUM(L$2:L$6)*L3</f>
        <v>1974.6127643296334</v>
      </c>
      <c r="U3" s="7">
        <f t="shared" si="0"/>
        <v>1839.2908454170476</v>
      </c>
      <c r="V3" s="7">
        <f t="shared" si="0"/>
        <v>956.96645802401861</v>
      </c>
      <c r="W3" s="7">
        <f t="shared" si="0"/>
        <v>1764.3937015876288</v>
      </c>
      <c r="X3" s="7">
        <f t="shared" si="0"/>
        <v>3896.1474079841296</v>
      </c>
      <c r="Z3" s="2" t="s">
        <v>21</v>
      </c>
      <c r="AA3" s="5">
        <v>50.735930000000003</v>
      </c>
      <c r="AB3" s="5">
        <v>82.238259999999997</v>
      </c>
      <c r="AC3" s="5">
        <v>24.879439999999999</v>
      </c>
      <c r="AD3" s="5">
        <v>62.365589999999997</v>
      </c>
      <c r="AE3" s="5">
        <v>89.032970000000006</v>
      </c>
      <c r="AF3" s="2">
        <v>85.799850000000006</v>
      </c>
      <c r="AH3" s="2" t="s">
        <v>21</v>
      </c>
      <c r="AI3">
        <f>$S$2*AA3/$K$2</f>
        <v>1060.0147395209219</v>
      </c>
      <c r="AJ3">
        <f>$T$2*AB3/$L$2</f>
        <v>3138.2567301781178</v>
      </c>
      <c r="AK3">
        <f>$U$2*AC3/$M$2</f>
        <v>2741.8226338631994</v>
      </c>
      <c r="AL3">
        <f>$V$2*AD3/$N$2</f>
        <v>1222.7905503905242</v>
      </c>
      <c r="AM3">
        <f>$W$2*AE3/$O$2</f>
        <v>2166.4988216062943</v>
      </c>
      <c r="AN3">
        <f>$X$2*AF3/$P$2</f>
        <v>4794.1860803193777</v>
      </c>
    </row>
    <row r="4" spans="1:40" x14ac:dyDescent="0.4">
      <c r="A4">
        <v>8</v>
      </c>
      <c r="B4">
        <v>3420</v>
      </c>
      <c r="C4">
        <v>10000</v>
      </c>
      <c r="D4">
        <v>9970</v>
      </c>
      <c r="E4">
        <v>4330</v>
      </c>
      <c r="F4">
        <v>8830</v>
      </c>
      <c r="G4">
        <v>11470</v>
      </c>
      <c r="I4" s="1"/>
      <c r="J4" s="2" t="s">
        <v>75</v>
      </c>
      <c r="K4" s="5">
        <v>35.281379999999999</v>
      </c>
      <c r="L4" s="5">
        <v>50.421169999999996</v>
      </c>
      <c r="M4" s="5">
        <v>17.686959999999999</v>
      </c>
      <c r="N4" s="5">
        <v>50.163620000000002</v>
      </c>
      <c r="O4" s="5">
        <v>69.247860000000003</v>
      </c>
      <c r="P4" s="2">
        <v>67.082599999999999</v>
      </c>
      <c r="R4" s="2" t="s">
        <v>75</v>
      </c>
      <c r="S4" s="7">
        <f t="shared" si="1"/>
        <v>737.1261910570804</v>
      </c>
      <c r="T4" s="7">
        <f t="shared" si="2"/>
        <v>1924.099270776826</v>
      </c>
      <c r="U4" s="7">
        <f t="shared" si="0"/>
        <v>1949.1800157975042</v>
      </c>
      <c r="V4" s="7">
        <f t="shared" si="0"/>
        <v>983.54878883341144</v>
      </c>
      <c r="W4" s="7">
        <f t="shared" si="0"/>
        <v>1685.0545038400678</v>
      </c>
      <c r="X4" s="7">
        <f t="shared" si="0"/>
        <v>3748.3336760103039</v>
      </c>
      <c r="Z4" s="2" t="s">
        <v>22</v>
      </c>
      <c r="AA4" s="2">
        <v>58.614710000000002</v>
      </c>
      <c r="AB4" s="5">
        <v>80.264740000000003</v>
      </c>
      <c r="AC4" s="5">
        <v>27.45402</v>
      </c>
      <c r="AD4" s="5">
        <v>63.113599999999998</v>
      </c>
      <c r="AE4" s="5">
        <v>80.844750000000005</v>
      </c>
      <c r="AF4" s="2">
        <v>93.137010000000004</v>
      </c>
      <c r="AH4" s="2" t="s">
        <v>22</v>
      </c>
      <c r="AI4">
        <f t="shared" ref="AI4:AI67" si="3">$S$2*AA4/$K$2</f>
        <v>1224.6243747329431</v>
      </c>
      <c r="AJ4">
        <f t="shared" ref="AJ4:AJ67" si="4">$T$2*AB4/$L$2</f>
        <v>3062.9461336000641</v>
      </c>
      <c r="AK4">
        <f t="shared" ref="AK4:AK67" si="5">$U$2*AC4/$M$2</f>
        <v>3025.5525617350295</v>
      </c>
      <c r="AL4">
        <f t="shared" ref="AL4:AL67" si="6">$V$2*AD4/$N$2</f>
        <v>1237.4566436576226</v>
      </c>
      <c r="AM4">
        <f t="shared" ref="AM4:AM67" si="7">$W$2*AE4/$O$2</f>
        <v>1967.2493864694784</v>
      </c>
      <c r="AN4">
        <f t="shared" ref="AN4:AN67" si="8">$X$2*AF4/$P$2</f>
        <v>5204.1601110557494</v>
      </c>
    </row>
    <row r="5" spans="1:40" x14ac:dyDescent="0.4">
      <c r="A5">
        <v>9</v>
      </c>
      <c r="B5">
        <v>3150</v>
      </c>
      <c r="C5">
        <v>9400</v>
      </c>
      <c r="D5">
        <v>11110</v>
      </c>
      <c r="E5">
        <v>4300</v>
      </c>
      <c r="F5">
        <v>7480</v>
      </c>
      <c r="G5">
        <v>11650</v>
      </c>
      <c r="I5" s="1"/>
      <c r="J5" s="2" t="s">
        <v>76</v>
      </c>
      <c r="K5" s="5">
        <v>35.108220000000003</v>
      </c>
      <c r="L5" s="5">
        <v>52.178089999999997</v>
      </c>
      <c r="M5" s="5">
        <v>18.054760000000002</v>
      </c>
      <c r="N5" s="5">
        <v>49.041600000000003</v>
      </c>
      <c r="O5" s="5">
        <v>71.211550000000003</v>
      </c>
      <c r="P5" s="2">
        <v>59.745440000000002</v>
      </c>
      <c r="R5" s="2" t="s">
        <v>76</v>
      </c>
      <c r="S5" s="7">
        <f t="shared" si="1"/>
        <v>733.50839687659652</v>
      </c>
      <c r="T5" s="7">
        <f t="shared" si="2"/>
        <v>1991.1442935482773</v>
      </c>
      <c r="U5" s="7">
        <f t="shared" si="0"/>
        <v>1989.7131775059224</v>
      </c>
      <c r="V5" s="7">
        <f t="shared" si="0"/>
        <v>961.54955089869168</v>
      </c>
      <c r="W5" s="7">
        <f t="shared" si="0"/>
        <v>1732.838286308518</v>
      </c>
      <c r="X5" s="7">
        <f t="shared" si="0"/>
        <v>3338.3596452739316</v>
      </c>
      <c r="Z5" s="2" t="s">
        <v>23</v>
      </c>
      <c r="AA5" s="5">
        <v>68.787869999999998</v>
      </c>
      <c r="AB5" s="5">
        <v>83.225030000000004</v>
      </c>
      <c r="AC5" s="5">
        <v>31.033909999999999</v>
      </c>
      <c r="AD5" s="5">
        <v>69.752219999999994</v>
      </c>
      <c r="AE5" s="5">
        <v>84.957390000000004</v>
      </c>
      <c r="AF5" s="2">
        <v>100</v>
      </c>
      <c r="AH5" s="2" t="s">
        <v>23</v>
      </c>
      <c r="AI5">
        <f t="shared" si="3"/>
        <v>1437.1699917641999</v>
      </c>
      <c r="AJ5">
        <f t="shared" si="4"/>
        <v>3175.912410072584</v>
      </c>
      <c r="AK5">
        <f t="shared" si="5"/>
        <v>3420.07202956632</v>
      </c>
      <c r="AL5">
        <f t="shared" si="6"/>
        <v>1367.6188341160714</v>
      </c>
      <c r="AM5">
        <f t="shared" si="7"/>
        <v>2067.3250069243604</v>
      </c>
      <c r="AN5">
        <f t="shared" si="8"/>
        <v>5587.639232841756</v>
      </c>
    </row>
    <row r="6" spans="1:40" x14ac:dyDescent="0.4">
      <c r="A6">
        <v>10</v>
      </c>
      <c r="B6">
        <v>2690</v>
      </c>
      <c r="C6">
        <v>8300</v>
      </c>
      <c r="D6">
        <v>12100</v>
      </c>
      <c r="E6">
        <v>3890</v>
      </c>
      <c r="F6">
        <v>6140</v>
      </c>
      <c r="G6">
        <v>9750</v>
      </c>
      <c r="I6" s="1"/>
      <c r="J6" s="2" t="s">
        <v>77</v>
      </c>
      <c r="K6" s="5">
        <v>35.324669999999998</v>
      </c>
      <c r="L6" s="5">
        <v>53.6462</v>
      </c>
      <c r="M6" s="5">
        <v>18.169180000000001</v>
      </c>
      <c r="N6" s="5">
        <v>47.452080000000002</v>
      </c>
      <c r="O6" s="5">
        <v>77.843639999999994</v>
      </c>
      <c r="P6" s="2">
        <v>56.650860000000002</v>
      </c>
      <c r="R6" s="2" t="s">
        <v>77</v>
      </c>
      <c r="S6" s="7">
        <f t="shared" si="1"/>
        <v>738.03063960220129</v>
      </c>
      <c r="T6" s="7">
        <f t="shared" si="2"/>
        <v>2047.1681696388198</v>
      </c>
      <c r="U6" s="7">
        <f t="shared" si="0"/>
        <v>2002.3227597861758</v>
      </c>
      <c r="V6" s="7">
        <f t="shared" si="0"/>
        <v>930.38412721462578</v>
      </c>
      <c r="W6" s="7">
        <f t="shared" si="0"/>
        <v>1894.221369112415</v>
      </c>
      <c r="X6" s="7">
        <f t="shared" si="0"/>
        <v>3165.4456791022571</v>
      </c>
      <c r="Z6" s="2" t="s">
        <v>24</v>
      </c>
      <c r="AA6" s="5">
        <v>71.818179999999998</v>
      </c>
      <c r="AB6" s="5">
        <v>84.500600000000006</v>
      </c>
      <c r="AC6" s="5">
        <v>34.335920000000002</v>
      </c>
      <c r="AD6" s="5">
        <v>64.749880000000005</v>
      </c>
      <c r="AE6" s="5">
        <v>90.589100000000002</v>
      </c>
      <c r="AF6" s="2">
        <v>89.71799</v>
      </c>
      <c r="AH6" s="2" t="s">
        <v>24</v>
      </c>
      <c r="AI6">
        <f t="shared" si="3"/>
        <v>1500.4815988504924</v>
      </c>
      <c r="AJ6">
        <f t="shared" si="4"/>
        <v>3224.5888550425207</v>
      </c>
      <c r="AK6">
        <f t="shared" si="5"/>
        <v>3783.9679112759823</v>
      </c>
      <c r="AL6">
        <f t="shared" si="6"/>
        <v>1269.5388819847676</v>
      </c>
      <c r="AM6">
        <f t="shared" si="7"/>
        <v>2204.365173939213</v>
      </c>
      <c r="AN6">
        <f t="shared" si="8"/>
        <v>5013.1176081570438</v>
      </c>
    </row>
    <row r="7" spans="1:40" x14ac:dyDescent="0.4">
      <c r="A7">
        <v>11</v>
      </c>
      <c r="B7">
        <v>4190</v>
      </c>
      <c r="C7">
        <v>8520</v>
      </c>
      <c r="D7">
        <v>19380</v>
      </c>
      <c r="E7">
        <v>4020</v>
      </c>
      <c r="F7">
        <v>5090</v>
      </c>
      <c r="G7">
        <v>9960</v>
      </c>
      <c r="I7" s="1">
        <v>8</v>
      </c>
      <c r="J7" s="2" t="s">
        <v>78</v>
      </c>
      <c r="K7" s="5">
        <v>33.593069999999997</v>
      </c>
      <c r="L7" s="5">
        <v>52.587240000000001</v>
      </c>
      <c r="M7" s="5">
        <v>18.471589999999999</v>
      </c>
      <c r="N7" s="5">
        <v>44.039270000000002</v>
      </c>
      <c r="O7" s="5">
        <v>69.914779999999993</v>
      </c>
      <c r="P7" s="2">
        <v>57.94858</v>
      </c>
      <c r="R7" s="2" t="s">
        <v>78</v>
      </c>
      <c r="S7" s="7">
        <f>B$4/SUM(K$7:K$10)*K7</f>
        <v>880.5308325243733</v>
      </c>
      <c r="T7" s="7">
        <f t="shared" ref="T7:X10" si="9">C$4/SUM(L$7:L$10)*L7</f>
        <v>2506.3087564605535</v>
      </c>
      <c r="U7" s="7">
        <f t="shared" si="9"/>
        <v>2517.5637539339978</v>
      </c>
      <c r="V7" s="7">
        <f t="shared" si="9"/>
        <v>1060.8218639074141</v>
      </c>
      <c r="W7" s="7">
        <f t="shared" si="9"/>
        <v>2205.1628322956449</v>
      </c>
      <c r="X7" s="7">
        <f t="shared" si="9"/>
        <v>2607.7878878498159</v>
      </c>
      <c r="Z7" s="2" t="s">
        <v>25</v>
      </c>
      <c r="AA7" s="5">
        <v>83.982680000000002</v>
      </c>
      <c r="AB7" s="5">
        <v>86.618530000000007</v>
      </c>
      <c r="AC7" s="5">
        <v>39.190840000000001</v>
      </c>
      <c r="AD7" s="5">
        <v>90.603080000000006</v>
      </c>
      <c r="AE7" s="5">
        <v>92.293440000000004</v>
      </c>
      <c r="AF7" s="2">
        <v>88.520079999999993</v>
      </c>
      <c r="AH7" s="2" t="s">
        <v>25</v>
      </c>
      <c r="AI7">
        <f t="shared" si="3"/>
        <v>1754.6318489573155</v>
      </c>
      <c r="AJ7">
        <f t="shared" si="4"/>
        <v>3305.4102157637481</v>
      </c>
      <c r="AK7">
        <f t="shared" si="5"/>
        <v>4319.0012376529075</v>
      </c>
      <c r="AL7">
        <f t="shared" si="6"/>
        <v>1776.4377769901112</v>
      </c>
      <c r="AM7">
        <f t="shared" si="7"/>
        <v>2245.8380193538551</v>
      </c>
      <c r="AN7">
        <f t="shared" si="8"/>
        <v>4946.1827190229078</v>
      </c>
    </row>
    <row r="8" spans="1:40" x14ac:dyDescent="0.4">
      <c r="A8">
        <v>12</v>
      </c>
      <c r="B8">
        <v>2790</v>
      </c>
      <c r="C8">
        <v>7740</v>
      </c>
      <c r="D8">
        <v>17310</v>
      </c>
      <c r="E8">
        <v>4130</v>
      </c>
      <c r="F8">
        <v>5430</v>
      </c>
      <c r="G8">
        <v>9150</v>
      </c>
      <c r="I8" s="1"/>
      <c r="J8" s="2" t="s">
        <v>79</v>
      </c>
      <c r="K8" s="5">
        <v>30.909089999999999</v>
      </c>
      <c r="L8" s="5">
        <v>52.948250000000002</v>
      </c>
      <c r="M8" s="5">
        <v>18.863910000000001</v>
      </c>
      <c r="N8" s="5">
        <v>43.010750000000002</v>
      </c>
      <c r="O8" s="5">
        <v>70.841049999999996</v>
      </c>
      <c r="P8" s="2">
        <v>60.169699999999999</v>
      </c>
      <c r="R8" s="2" t="s">
        <v>79</v>
      </c>
      <c r="S8" s="7">
        <f t="shared" ref="S8:S10" si="10">B$4/SUM(K$7:K$10)*K8</f>
        <v>810.17920512387775</v>
      </c>
      <c r="T8" s="7">
        <f t="shared" si="9"/>
        <v>2523.5144992257156</v>
      </c>
      <c r="U8" s="7">
        <f t="shared" si="9"/>
        <v>2571.0345494607172</v>
      </c>
      <c r="V8" s="7">
        <f t="shared" si="9"/>
        <v>1036.0467824070611</v>
      </c>
      <c r="W8" s="7">
        <f t="shared" si="9"/>
        <v>2234.3780594145815</v>
      </c>
      <c r="X8" s="7">
        <f t="shared" si="9"/>
        <v>2707.7421892919042</v>
      </c>
      <c r="Z8" s="2" t="s">
        <v>26</v>
      </c>
      <c r="AA8" s="5">
        <v>82.121210000000005</v>
      </c>
      <c r="AB8" s="5">
        <v>95.643799999999999</v>
      </c>
      <c r="AC8" s="5">
        <v>45.083770000000001</v>
      </c>
      <c r="AD8" s="5">
        <v>71.528750000000002</v>
      </c>
      <c r="AE8" s="5">
        <v>100</v>
      </c>
      <c r="AF8" s="2">
        <v>88.320430000000002</v>
      </c>
      <c r="AH8" s="2" t="s">
        <v>26</v>
      </c>
      <c r="AI8">
        <f t="shared" si="3"/>
        <v>1715.7405615171126</v>
      </c>
      <c r="AJ8">
        <f t="shared" si="4"/>
        <v>3649.8194277190432</v>
      </c>
      <c r="AK8">
        <f t="shared" si="5"/>
        <v>4968.4277863924071</v>
      </c>
      <c r="AL8">
        <f t="shared" si="6"/>
        <v>1402.4509281680205</v>
      </c>
      <c r="AM8">
        <f t="shared" si="7"/>
        <v>2433.366899482623</v>
      </c>
      <c r="AN8">
        <f t="shared" si="8"/>
        <v>4935.0269972945398</v>
      </c>
    </row>
    <row r="9" spans="1:40" x14ac:dyDescent="0.4">
      <c r="A9">
        <v>1</v>
      </c>
      <c r="B9">
        <v>2620</v>
      </c>
      <c r="C9">
        <v>8070</v>
      </c>
      <c r="D9">
        <v>18510</v>
      </c>
      <c r="E9">
        <v>4500</v>
      </c>
      <c r="F9">
        <v>5950</v>
      </c>
      <c r="G9">
        <v>8490</v>
      </c>
      <c r="I9" s="1"/>
      <c r="J9" s="2" t="s">
        <v>80</v>
      </c>
      <c r="K9" s="5">
        <v>33.636360000000003</v>
      </c>
      <c r="L9" s="5">
        <v>53.501800000000003</v>
      </c>
      <c r="M9" s="5">
        <v>17.883120000000002</v>
      </c>
      <c r="N9" s="5">
        <v>47.498829999999998</v>
      </c>
      <c r="O9" s="5">
        <v>70.47054</v>
      </c>
      <c r="P9" s="2">
        <v>66.73321</v>
      </c>
      <c r="R9" s="2" t="s">
        <v>80</v>
      </c>
      <c r="S9" s="7">
        <f t="shared" si="10"/>
        <v>881.66553619212345</v>
      </c>
      <c r="T9" s="7">
        <f t="shared" si="9"/>
        <v>2549.8967016789861</v>
      </c>
      <c r="U9" s="7">
        <f t="shared" si="9"/>
        <v>2437.3589235822233</v>
      </c>
      <c r="V9" s="7">
        <f t="shared" si="9"/>
        <v>1144.1560537679529</v>
      </c>
      <c r="W9" s="7">
        <f t="shared" si="9"/>
        <v>2222.6919054855575</v>
      </c>
      <c r="X9" s="7">
        <f t="shared" si="9"/>
        <v>3003.1116682296306</v>
      </c>
      <c r="Z9" s="2" t="s">
        <v>27</v>
      </c>
      <c r="AA9" s="5">
        <v>76.363630000000001</v>
      </c>
      <c r="AB9" s="5">
        <v>97.906130000000005</v>
      </c>
      <c r="AC9" s="5">
        <v>40.00817</v>
      </c>
      <c r="AD9" s="5">
        <v>70.406729999999996</v>
      </c>
      <c r="AE9" s="5">
        <v>95.368650000000002</v>
      </c>
      <c r="AF9" s="2">
        <v>92.113799999999998</v>
      </c>
      <c r="AH9" s="2" t="s">
        <v>27</v>
      </c>
      <c r="AI9">
        <f t="shared" si="3"/>
        <v>1595.448696088197</v>
      </c>
      <c r="AJ9">
        <f t="shared" si="4"/>
        <v>3736.151170978007</v>
      </c>
      <c r="AK9">
        <f t="shared" si="5"/>
        <v>4409.0745629904313</v>
      </c>
      <c r="AL9">
        <f t="shared" si="6"/>
        <v>1380.4516902333005</v>
      </c>
      <c r="AM9">
        <f t="shared" si="7"/>
        <v>2320.6691615834352</v>
      </c>
      <c r="AN9">
        <f t="shared" si="8"/>
        <v>5146.9868276613897</v>
      </c>
    </row>
    <row r="10" spans="1:40" x14ac:dyDescent="0.4">
      <c r="A10">
        <v>2</v>
      </c>
      <c r="B10">
        <v>2040</v>
      </c>
      <c r="C10">
        <v>7280</v>
      </c>
      <c r="D10">
        <v>14110</v>
      </c>
      <c r="E10">
        <v>3940</v>
      </c>
      <c r="F10">
        <v>5200</v>
      </c>
      <c r="G10">
        <v>7140</v>
      </c>
      <c r="I10" s="1"/>
      <c r="J10" s="2" t="s">
        <v>81</v>
      </c>
      <c r="K10" s="5">
        <v>32.33766</v>
      </c>
      <c r="L10" s="5">
        <v>50.78219</v>
      </c>
      <c r="M10" s="5">
        <v>17.93216</v>
      </c>
      <c r="N10" s="5">
        <v>45.208039999999997</v>
      </c>
      <c r="O10" s="5">
        <v>68.729150000000004</v>
      </c>
      <c r="P10" s="2">
        <v>70.027450000000002</v>
      </c>
      <c r="R10" s="2" t="s">
        <v>81</v>
      </c>
      <c r="S10" s="7">
        <f t="shared" si="10"/>
        <v>847.62442615962539</v>
      </c>
      <c r="T10" s="7">
        <f t="shared" si="9"/>
        <v>2420.2800426347449</v>
      </c>
      <c r="U10" s="7">
        <f t="shared" si="9"/>
        <v>2444.0427730230631</v>
      </c>
      <c r="V10" s="7">
        <f t="shared" si="9"/>
        <v>1088.9752999175719</v>
      </c>
      <c r="W10" s="7">
        <f t="shared" si="9"/>
        <v>2167.7672028042175</v>
      </c>
      <c r="X10" s="7">
        <f t="shared" si="9"/>
        <v>3151.3582546286484</v>
      </c>
      <c r="Z10" s="2" t="s">
        <v>28</v>
      </c>
      <c r="AA10" s="5">
        <v>70.909090000000006</v>
      </c>
      <c r="AB10" s="5">
        <v>100</v>
      </c>
      <c r="AC10" s="5">
        <v>36.992229999999999</v>
      </c>
      <c r="AD10" s="5">
        <v>69.284710000000004</v>
      </c>
      <c r="AE10" s="5">
        <v>95.924409999999995</v>
      </c>
      <c r="AF10" s="2">
        <v>94.559520000000006</v>
      </c>
      <c r="AH10" s="2" t="s">
        <v>28</v>
      </c>
      <c r="AI10">
        <f t="shared" si="3"/>
        <v>1481.4881794029518</v>
      </c>
      <c r="AJ10">
        <f t="shared" si="4"/>
        <v>3816.0543890132381</v>
      </c>
      <c r="AK10">
        <f t="shared" si="5"/>
        <v>4076.7048410684997</v>
      </c>
      <c r="AL10">
        <f t="shared" si="6"/>
        <v>1358.452452298581</v>
      </c>
      <c r="AM10">
        <f t="shared" si="7"/>
        <v>2334.1928414639992</v>
      </c>
      <c r="AN10">
        <f t="shared" si="8"/>
        <v>5283.644837906847</v>
      </c>
    </row>
    <row r="11" spans="1:40" x14ac:dyDescent="0.4">
      <c r="A11">
        <v>3</v>
      </c>
      <c r="B11">
        <v>1870</v>
      </c>
      <c r="C11">
        <v>7920</v>
      </c>
      <c r="D11">
        <v>11860</v>
      </c>
      <c r="E11">
        <v>3680</v>
      </c>
      <c r="F11">
        <v>4190</v>
      </c>
      <c r="G11">
        <v>8020</v>
      </c>
      <c r="I11" s="1">
        <v>9</v>
      </c>
      <c r="J11" s="2" t="s">
        <v>82</v>
      </c>
      <c r="K11" s="5">
        <v>32.727269999999997</v>
      </c>
      <c r="L11" s="5">
        <v>53.453670000000002</v>
      </c>
      <c r="M11" s="5">
        <v>19.49325</v>
      </c>
      <c r="N11" s="5">
        <v>45.722299999999997</v>
      </c>
      <c r="O11" s="5">
        <v>68.840310000000002</v>
      </c>
      <c r="P11" s="2">
        <v>69.653099999999995</v>
      </c>
      <c r="R11" s="2" t="s">
        <v>82</v>
      </c>
      <c r="S11" s="7">
        <f>B$5/SUM(K$11:K$14)*K11</f>
        <v>829.75612353301892</v>
      </c>
      <c r="T11" s="7">
        <f t="shared" ref="T11:X15" si="11">C$5/SUM(L$11:L$14)*L11</f>
        <v>2444.0881914619463</v>
      </c>
      <c r="U11" s="7">
        <f t="shared" si="11"/>
        <v>2619.8680944788011</v>
      </c>
      <c r="V11" s="7">
        <f t="shared" si="11"/>
        <v>1073.3537806744237</v>
      </c>
      <c r="W11" s="7">
        <f t="shared" si="11"/>
        <v>2029.7708309542488</v>
      </c>
      <c r="X11" s="7">
        <f t="shared" si="11"/>
        <v>3103.1828807541447</v>
      </c>
      <c r="Z11" s="2" t="s">
        <v>29</v>
      </c>
      <c r="AA11" s="5">
        <v>57.705620000000003</v>
      </c>
      <c r="AB11" s="5">
        <v>99.157640000000001</v>
      </c>
      <c r="AC11" s="5">
        <v>33.984470000000002</v>
      </c>
      <c r="AD11" s="5">
        <v>63.908360000000002</v>
      </c>
      <c r="AE11" s="5">
        <v>91.626519999999999</v>
      </c>
      <c r="AF11" s="2">
        <v>99.95008</v>
      </c>
      <c r="AH11" s="2" t="s">
        <v>29</v>
      </c>
      <c r="AI11">
        <f t="shared" si="3"/>
        <v>1205.6309552854023</v>
      </c>
      <c r="AJ11">
        <f t="shared" si="4"/>
        <v>3783.9094732619465</v>
      </c>
      <c r="AK11">
        <f t="shared" si="5"/>
        <v>3745.236590769121</v>
      </c>
      <c r="AL11">
        <f t="shared" si="6"/>
        <v>1253.0393554996556</v>
      </c>
      <c r="AM11">
        <f t="shared" si="7"/>
        <v>2229.6094088278255</v>
      </c>
      <c r="AN11">
        <f t="shared" si="8"/>
        <v>5584.8498833367212</v>
      </c>
    </row>
    <row r="12" spans="1:40" x14ac:dyDescent="0.4">
      <c r="A12">
        <v>4</v>
      </c>
      <c r="B12">
        <v>1960</v>
      </c>
      <c r="C12">
        <v>6870</v>
      </c>
      <c r="D12">
        <v>9350</v>
      </c>
      <c r="E12">
        <v>3140</v>
      </c>
      <c r="F12">
        <v>3980</v>
      </c>
      <c r="G12">
        <v>7690</v>
      </c>
      <c r="I12" s="1"/>
      <c r="J12" s="2" t="s">
        <v>83</v>
      </c>
      <c r="K12" s="5">
        <v>31.385280000000002</v>
      </c>
      <c r="L12" s="5">
        <v>53.790610000000001</v>
      </c>
      <c r="M12" s="5">
        <v>21.430319999999998</v>
      </c>
      <c r="N12" s="5">
        <v>42.8705</v>
      </c>
      <c r="O12" s="5">
        <v>67.617630000000005</v>
      </c>
      <c r="P12" s="2">
        <v>65.909649999999999</v>
      </c>
      <c r="R12" s="2" t="s">
        <v>83</v>
      </c>
      <c r="S12" s="7">
        <f t="shared" ref="S12:S14" si="12">B$5/SUM(K$11:K$14)*K12</f>
        <v>795.73176341315343</v>
      </c>
      <c r="T12" s="7">
        <f t="shared" si="11"/>
        <v>2459.4942632102693</v>
      </c>
      <c r="U12" s="7">
        <f t="shared" si="11"/>
        <v>2880.2078474585273</v>
      </c>
      <c r="V12" s="7">
        <f t="shared" si="11"/>
        <v>1006.4063543260702</v>
      </c>
      <c r="W12" s="7">
        <f t="shared" si="11"/>
        <v>1993.7198573373209</v>
      </c>
      <c r="X12" s="7">
        <f t="shared" si="11"/>
        <v>2936.4048054788291</v>
      </c>
      <c r="Z12" s="2" t="s">
        <v>30</v>
      </c>
      <c r="AA12" s="5">
        <v>55.021639999999998</v>
      </c>
      <c r="AB12" s="5">
        <v>95.667869999999994</v>
      </c>
      <c r="AC12" s="5">
        <v>28.941559999999999</v>
      </c>
      <c r="AD12" s="5">
        <v>60.916310000000003</v>
      </c>
      <c r="AE12" s="5">
        <v>87.625039999999998</v>
      </c>
      <c r="AF12" s="2">
        <v>96.381330000000005</v>
      </c>
      <c r="AH12" s="2" t="s">
        <v>30</v>
      </c>
      <c r="AI12">
        <f t="shared" si="3"/>
        <v>1149.5551454879003</v>
      </c>
      <c r="AJ12">
        <f t="shared" si="4"/>
        <v>3650.7379520104787</v>
      </c>
      <c r="AK12">
        <f t="shared" si="5"/>
        <v>3189.48594772671</v>
      </c>
      <c r="AL12">
        <f t="shared" si="6"/>
        <v>1194.3747863631179</v>
      </c>
      <c r="AM12">
        <f t="shared" si="7"/>
        <v>2132.2387190184081</v>
      </c>
      <c r="AN12">
        <f t="shared" si="8"/>
        <v>5385.4410082146815</v>
      </c>
    </row>
    <row r="13" spans="1:40" x14ac:dyDescent="0.4">
      <c r="A13">
        <v>5</v>
      </c>
      <c r="B13">
        <v>1890</v>
      </c>
      <c r="C13">
        <v>6470</v>
      </c>
      <c r="D13">
        <v>7620</v>
      </c>
      <c r="E13">
        <v>3070</v>
      </c>
      <c r="F13">
        <v>4250</v>
      </c>
      <c r="G13">
        <v>7560</v>
      </c>
      <c r="I13" s="1"/>
      <c r="J13" s="2" t="s">
        <v>84</v>
      </c>
      <c r="K13" s="5">
        <v>28.57142</v>
      </c>
      <c r="L13" s="5">
        <v>50.878450000000001</v>
      </c>
      <c r="M13" s="5">
        <v>20.580300000000001</v>
      </c>
      <c r="N13" s="5">
        <v>47.498829999999998</v>
      </c>
      <c r="O13" s="5">
        <v>61.207850000000001</v>
      </c>
      <c r="P13" s="2">
        <v>65.285740000000004</v>
      </c>
      <c r="R13" s="2" t="s">
        <v>84</v>
      </c>
      <c r="S13" s="7">
        <f t="shared" si="12"/>
        <v>724.39010962520763</v>
      </c>
      <c r="T13" s="7">
        <f t="shared" si="11"/>
        <v>2326.3401529752227</v>
      </c>
      <c r="U13" s="7">
        <f t="shared" si="11"/>
        <v>2765.9662367641145</v>
      </c>
      <c r="V13" s="7">
        <f t="shared" si="11"/>
        <v>1115.0587078539736</v>
      </c>
      <c r="W13" s="7">
        <f t="shared" si="11"/>
        <v>1804.7261634269662</v>
      </c>
      <c r="X13" s="7">
        <f t="shared" si="11"/>
        <v>2908.6083853463251</v>
      </c>
      <c r="Z13" s="2" t="s">
        <v>31</v>
      </c>
      <c r="AA13" s="5">
        <v>49.090899999999998</v>
      </c>
      <c r="AB13" s="5">
        <v>84.861609999999999</v>
      </c>
      <c r="AC13" s="5">
        <v>25.88475</v>
      </c>
      <c r="AD13" s="5">
        <v>64.001869999999997</v>
      </c>
      <c r="AE13" s="5">
        <v>82.919589999999999</v>
      </c>
      <c r="AF13" s="2">
        <v>93.48639</v>
      </c>
      <c r="AH13" s="2" t="s">
        <v>31</v>
      </c>
      <c r="AI13">
        <f t="shared" si="3"/>
        <v>1025.6454858785009</v>
      </c>
      <c r="AJ13">
        <f t="shared" si="4"/>
        <v>3238.3651929922967</v>
      </c>
      <c r="AK13">
        <f t="shared" si="5"/>
        <v>2852.6121738226611</v>
      </c>
      <c r="AL13">
        <f t="shared" si="6"/>
        <v>1254.8727887176692</v>
      </c>
      <c r="AM13">
        <f t="shared" si="7"/>
        <v>2017.7378562467031</v>
      </c>
      <c r="AN13">
        <f t="shared" si="8"/>
        <v>5223.6822050074525</v>
      </c>
    </row>
    <row r="14" spans="1:40" x14ac:dyDescent="0.4">
      <c r="A14">
        <v>6</v>
      </c>
      <c r="B14">
        <v>1840</v>
      </c>
      <c r="C14">
        <v>5650</v>
      </c>
      <c r="D14">
        <v>6400</v>
      </c>
      <c r="E14">
        <v>3110</v>
      </c>
      <c r="F14">
        <v>4020</v>
      </c>
      <c r="G14">
        <v>7030</v>
      </c>
      <c r="I14" s="1"/>
      <c r="J14" s="2" t="s">
        <v>85</v>
      </c>
      <c r="K14" s="5">
        <v>31.558440000000001</v>
      </c>
      <c r="L14" s="5">
        <v>47.460889999999999</v>
      </c>
      <c r="M14" s="5">
        <v>21.160599999999999</v>
      </c>
      <c r="N14" s="5">
        <v>47.078069999999997</v>
      </c>
      <c r="O14" s="5">
        <v>56.020740000000004</v>
      </c>
      <c r="P14" s="2">
        <v>60.64387</v>
      </c>
      <c r="R14" s="2" t="s">
        <v>85</v>
      </c>
      <c r="S14" s="7">
        <f t="shared" si="12"/>
        <v>800.12200342861991</v>
      </c>
      <c r="T14" s="7">
        <f t="shared" si="11"/>
        <v>2170.0773923525621</v>
      </c>
      <c r="U14" s="7">
        <f t="shared" si="11"/>
        <v>2843.957821298558</v>
      </c>
      <c r="V14" s="7">
        <f t="shared" si="11"/>
        <v>1105.1811571455321</v>
      </c>
      <c r="W14" s="7">
        <f t="shared" si="11"/>
        <v>1651.7831482814638</v>
      </c>
      <c r="X14" s="7">
        <f>G$5/SUM(P$11:P$14)*P14</f>
        <v>2701.8039284207002</v>
      </c>
      <c r="Z14" s="2" t="s">
        <v>32</v>
      </c>
      <c r="AA14" s="5">
        <v>44.37229</v>
      </c>
      <c r="AB14" s="5">
        <v>71.768950000000004</v>
      </c>
      <c r="AC14" s="5">
        <v>25.20637</v>
      </c>
      <c r="AD14" s="5">
        <v>59.84104</v>
      </c>
      <c r="AE14" s="5">
        <v>87.587990000000005</v>
      </c>
      <c r="AF14" s="2">
        <v>85.450460000000007</v>
      </c>
      <c r="AH14" s="2" t="s">
        <v>32</v>
      </c>
      <c r="AI14">
        <f t="shared" si="3"/>
        <v>927.06059446031247</v>
      </c>
      <c r="AJ14">
        <f t="shared" si="4"/>
        <v>2738.7421664237163</v>
      </c>
      <c r="AK14">
        <f t="shared" si="5"/>
        <v>2777.8517435894996</v>
      </c>
      <c r="AL14">
        <f t="shared" si="6"/>
        <v>1173.2921670033327</v>
      </c>
      <c r="AM14">
        <f t="shared" si="7"/>
        <v>2131.3371565821503</v>
      </c>
      <c r="AN14">
        <f t="shared" si="8"/>
        <v>4774.6634276037521</v>
      </c>
    </row>
    <row r="15" spans="1:40" x14ac:dyDescent="0.4">
      <c r="I15" s="1">
        <v>10</v>
      </c>
      <c r="J15" s="2" t="s">
        <v>86</v>
      </c>
      <c r="K15" s="5">
        <v>27.056270000000001</v>
      </c>
      <c r="L15" s="5">
        <v>41.949449999999999</v>
      </c>
      <c r="M15" s="5">
        <v>18.921119999999998</v>
      </c>
      <c r="N15" s="5">
        <v>43.525010000000002</v>
      </c>
      <c r="O15" s="5">
        <v>52.241570000000003</v>
      </c>
      <c r="P15" s="2">
        <v>56.201639999999998</v>
      </c>
      <c r="R15" s="2" t="s">
        <v>86</v>
      </c>
      <c r="S15" s="7">
        <f>B$6/SUM(K$15:K$19)*K15</f>
        <v>551.59115524498554</v>
      </c>
      <c r="T15" s="7">
        <f t="shared" ref="T15:X19" si="13">C$6/SUM(L$15:L$19)*L15</f>
        <v>1590.8179653373179</v>
      </c>
      <c r="U15" s="7">
        <f t="shared" si="13"/>
        <v>2059.2143515143139</v>
      </c>
      <c r="V15" s="7">
        <f t="shared" si="13"/>
        <v>815.85718948105375</v>
      </c>
      <c r="W15" s="7">
        <f t="shared" si="13"/>
        <v>1301.4733360320631</v>
      </c>
      <c r="X15" s="7">
        <f t="shared" si="13"/>
        <v>2047.2727047200822</v>
      </c>
      <c r="Z15" s="2" t="s">
        <v>33</v>
      </c>
      <c r="AA15" s="5">
        <v>46.233759999999997</v>
      </c>
      <c r="AB15" s="5">
        <v>81.660640000000001</v>
      </c>
      <c r="AC15" s="5">
        <v>28.949729999999999</v>
      </c>
      <c r="AD15" s="5">
        <v>63.53436</v>
      </c>
      <c r="AE15" s="5">
        <v>77.510180000000005</v>
      </c>
      <c r="AF15" s="2">
        <v>90.890940000000001</v>
      </c>
      <c r="AH15" s="2" t="s">
        <v>33</v>
      </c>
      <c r="AI15">
        <f t="shared" si="3"/>
        <v>965.95188190051533</v>
      </c>
      <c r="AJ15">
        <f t="shared" si="4"/>
        <v>3116.2144368162994</v>
      </c>
      <c r="AK15">
        <f t="shared" si="5"/>
        <v>3190.3863173057148</v>
      </c>
      <c r="AL15">
        <f t="shared" si="6"/>
        <v>1245.7064069001785</v>
      </c>
      <c r="AM15">
        <f t="shared" si="7"/>
        <v>1886.1070638494004</v>
      </c>
      <c r="AN15">
        <f t="shared" si="8"/>
        <v>5078.6578225386602</v>
      </c>
    </row>
    <row r="16" spans="1:40" x14ac:dyDescent="0.4">
      <c r="I16" s="1"/>
      <c r="J16" s="2" t="s">
        <v>87</v>
      </c>
      <c r="K16" s="5">
        <v>24.025970000000001</v>
      </c>
      <c r="L16" s="5">
        <v>40.89049</v>
      </c>
      <c r="M16" s="5">
        <v>17.981200000000001</v>
      </c>
      <c r="N16" s="5">
        <v>40.345950000000002</v>
      </c>
      <c r="O16" s="5">
        <v>58.688400000000001</v>
      </c>
      <c r="P16" s="2">
        <v>45.320680000000003</v>
      </c>
      <c r="R16" s="2" t="s">
        <v>87</v>
      </c>
      <c r="S16" s="7">
        <f t="shared" ref="S16:S53" si="14">B$6/SUM(K$15:K$19)*K16</f>
        <v>489.81299152401141</v>
      </c>
      <c r="T16" s="7">
        <f t="shared" si="13"/>
        <v>1550.6598084944128</v>
      </c>
      <c r="U16" s="7">
        <f t="shared" si="13"/>
        <v>1956.9214241783357</v>
      </c>
      <c r="V16" s="7">
        <f t="shared" si="13"/>
        <v>756.26710651974861</v>
      </c>
      <c r="W16" s="7">
        <f t="shared" si="13"/>
        <v>1462.0806329975178</v>
      </c>
      <c r="X16" s="7">
        <f t="shared" si="13"/>
        <v>1650.9089614351706</v>
      </c>
      <c r="Z16" s="2" t="s">
        <v>34</v>
      </c>
      <c r="AA16" s="5">
        <v>40.432899999999997</v>
      </c>
      <c r="AB16" s="5">
        <v>71.311670000000007</v>
      </c>
      <c r="AC16" s="5">
        <v>28.884340000000002</v>
      </c>
      <c r="AD16" s="5">
        <v>63.814860000000003</v>
      </c>
      <c r="AE16" s="5">
        <v>69.470169999999996</v>
      </c>
      <c r="AF16" s="2">
        <v>77.589209999999994</v>
      </c>
      <c r="AH16" s="2" t="s">
        <v>34</v>
      </c>
      <c r="AI16">
        <f t="shared" si="3"/>
        <v>844.75577685430176</v>
      </c>
      <c r="AJ16">
        <f t="shared" si="4"/>
        <v>2721.2921129136366</v>
      </c>
      <c r="AK16">
        <f t="shared" si="5"/>
        <v>3183.1800545430356</v>
      </c>
      <c r="AL16">
        <f t="shared" si="6"/>
        <v>1251.2061183497863</v>
      </c>
      <c r="AM16">
        <f t="shared" si="7"/>
        <v>1690.4641217943074</v>
      </c>
      <c r="AN16">
        <f t="shared" si="8"/>
        <v>4335.4051384119794</v>
      </c>
    </row>
    <row r="17" spans="9:40" x14ac:dyDescent="0.4">
      <c r="I17" s="1"/>
      <c r="J17" s="2" t="s">
        <v>88</v>
      </c>
      <c r="K17" s="5">
        <v>24.329000000000001</v>
      </c>
      <c r="L17" s="5">
        <v>49.79542</v>
      </c>
      <c r="M17" s="5">
        <v>22.885159999999999</v>
      </c>
      <c r="N17" s="5">
        <v>43.431510000000003</v>
      </c>
      <c r="O17" s="5">
        <v>50.203769999999999</v>
      </c>
      <c r="P17" s="2">
        <v>56.675809999999998</v>
      </c>
      <c r="R17" s="2" t="s">
        <v>88</v>
      </c>
      <c r="S17" s="7">
        <f t="shared" si="14"/>
        <v>495.99080789610883</v>
      </c>
      <c r="T17" s="7">
        <f t="shared" si="13"/>
        <v>1888.3548825435657</v>
      </c>
      <c r="U17" s="7">
        <f t="shared" si="13"/>
        <v>2490.6268713850618</v>
      </c>
      <c r="V17" s="7">
        <f t="shared" si="13"/>
        <v>814.10457306082833</v>
      </c>
      <c r="W17" s="7">
        <f t="shared" si="13"/>
        <v>1250.706439781316</v>
      </c>
      <c r="X17" s="7">
        <f t="shared" si="13"/>
        <v>2064.5454266263669</v>
      </c>
      <c r="Z17" s="2" t="s">
        <v>35</v>
      </c>
      <c r="AA17" s="5">
        <v>40.086579999999998</v>
      </c>
      <c r="AB17" s="5">
        <v>74.031279999999995</v>
      </c>
      <c r="AC17" s="5">
        <v>29.10502</v>
      </c>
      <c r="AD17" s="5">
        <v>64.562870000000004</v>
      </c>
      <c r="AE17" s="5">
        <v>67.358279999999993</v>
      </c>
      <c r="AF17" s="2">
        <v>78.911900000000003</v>
      </c>
      <c r="AH17" s="2" t="s">
        <v>35</v>
      </c>
      <c r="AI17">
        <f t="shared" si="3"/>
        <v>837.52018849333388</v>
      </c>
      <c r="AJ17">
        <f t="shared" si="4"/>
        <v>2825.0739096826792</v>
      </c>
      <c r="AK17">
        <f t="shared" si="5"/>
        <v>3207.4999515680861</v>
      </c>
      <c r="AL17">
        <f t="shared" si="6"/>
        <v>1265.8722116168847</v>
      </c>
      <c r="AM17">
        <f t="shared" si="7"/>
        <v>1639.0740895808237</v>
      </c>
      <c r="AN17">
        <f t="shared" si="8"/>
        <v>4409.3122837808532</v>
      </c>
    </row>
    <row r="18" spans="9:40" x14ac:dyDescent="0.4">
      <c r="I18" s="1"/>
      <c r="J18" s="2" t="s">
        <v>89</v>
      </c>
      <c r="K18" s="5">
        <v>25.021640000000001</v>
      </c>
      <c r="L18" s="5">
        <v>45.703969999999998</v>
      </c>
      <c r="M18" s="5">
        <v>24.77319</v>
      </c>
      <c r="N18" s="5">
        <v>39.551189999999998</v>
      </c>
      <c r="O18" s="5">
        <v>45.276020000000003</v>
      </c>
      <c r="P18" s="2">
        <v>54.97878</v>
      </c>
      <c r="R18" s="2" t="s">
        <v>89</v>
      </c>
      <c r="S18" s="7">
        <f t="shared" si="14"/>
        <v>510.11153103233147</v>
      </c>
      <c r="T18" s="7">
        <f t="shared" si="13"/>
        <v>1733.1978503469727</v>
      </c>
      <c r="U18" s="7">
        <f t="shared" si="13"/>
        <v>2696.1040562498888</v>
      </c>
      <c r="V18" s="7">
        <f t="shared" si="13"/>
        <v>741.36967950222549</v>
      </c>
      <c r="W18" s="7">
        <f t="shared" si="13"/>
        <v>1127.9433752020548</v>
      </c>
      <c r="X18" s="7">
        <f t="shared" si="13"/>
        <v>2002.72724484215</v>
      </c>
      <c r="Z18" s="2" t="s">
        <v>36</v>
      </c>
      <c r="AA18" s="5">
        <v>38.658000000000001</v>
      </c>
      <c r="AB18" s="5">
        <v>71.215400000000002</v>
      </c>
      <c r="AC18" s="5">
        <v>28.876169999999998</v>
      </c>
      <c r="AD18" s="5">
        <v>66.853660000000005</v>
      </c>
      <c r="AE18" s="5">
        <v>64.764719999999997</v>
      </c>
      <c r="AF18" s="2">
        <v>85.200890000000001</v>
      </c>
      <c r="AH18" s="2" t="s">
        <v>36</v>
      </c>
      <c r="AI18">
        <f t="shared" si="3"/>
        <v>807.67317757651813</v>
      </c>
      <c r="AJ18">
        <f t="shared" si="4"/>
        <v>2717.6183973533334</v>
      </c>
      <c r="AK18">
        <f t="shared" si="5"/>
        <v>3182.2796849640308</v>
      </c>
      <c r="AL18">
        <f t="shared" si="6"/>
        <v>1310.787306061259</v>
      </c>
      <c r="AM18">
        <f t="shared" si="7"/>
        <v>1575.9632590226024</v>
      </c>
      <c r="AN18">
        <f t="shared" si="8"/>
        <v>4760.7183563703484</v>
      </c>
    </row>
    <row r="19" spans="9:40" x14ac:dyDescent="0.4">
      <c r="I19" s="1"/>
      <c r="J19" s="2" t="s">
        <v>90</v>
      </c>
      <c r="K19" s="5">
        <v>31.515149999999998</v>
      </c>
      <c r="L19" s="5">
        <v>40.52948</v>
      </c>
      <c r="M19" s="5">
        <v>26.620349999999998</v>
      </c>
      <c r="N19" s="5">
        <v>40.673209999999997</v>
      </c>
      <c r="O19" s="5">
        <v>40.051870000000001</v>
      </c>
      <c r="P19" s="2">
        <v>54.479660000000003</v>
      </c>
      <c r="R19" s="2" t="s">
        <v>90</v>
      </c>
      <c r="S19" s="7">
        <f t="shared" si="14"/>
        <v>642.49351430256286</v>
      </c>
      <c r="T19" s="7">
        <f t="shared" si="13"/>
        <v>1536.9694932777311</v>
      </c>
      <c r="U19" s="7">
        <f t="shared" si="13"/>
        <v>2897.1332966723994</v>
      </c>
      <c r="V19" s="7">
        <f t="shared" si="13"/>
        <v>762.40145143614416</v>
      </c>
      <c r="W19" s="7">
        <f t="shared" si="13"/>
        <v>997.79621598704841</v>
      </c>
      <c r="X19" s="7">
        <f t="shared" si="13"/>
        <v>1984.5456623762311</v>
      </c>
      <c r="Z19" s="2" t="s">
        <v>37</v>
      </c>
      <c r="AA19" s="5">
        <v>41.818179999999998</v>
      </c>
      <c r="AB19" s="5">
        <v>69.410340000000005</v>
      </c>
      <c r="AC19" s="5">
        <v>31.4344</v>
      </c>
      <c r="AD19" s="5">
        <v>63.020099999999999</v>
      </c>
      <c r="AE19" s="5">
        <v>60.318629999999999</v>
      </c>
      <c r="AF19" s="2">
        <v>78.762159999999994</v>
      </c>
      <c r="AH19" s="2" t="s">
        <v>37</v>
      </c>
      <c r="AI19">
        <f t="shared" si="3"/>
        <v>873.69813029817362</v>
      </c>
      <c r="AJ19">
        <f t="shared" si="4"/>
        <v>2648.7363259990111</v>
      </c>
      <c r="AK19">
        <f t="shared" si="5"/>
        <v>3464.2077716343038</v>
      </c>
      <c r="AL19">
        <f t="shared" si="6"/>
        <v>1235.6234065077533</v>
      </c>
      <c r="AM19">
        <f t="shared" si="7"/>
        <v>1467.7735766413955</v>
      </c>
      <c r="AN19">
        <f t="shared" si="8"/>
        <v>4400.9453527935957</v>
      </c>
    </row>
    <row r="20" spans="9:40" x14ac:dyDescent="0.4">
      <c r="I20" s="1">
        <v>11</v>
      </c>
      <c r="J20" s="2" t="s">
        <v>91</v>
      </c>
      <c r="K20" s="5">
        <v>47.099559999999997</v>
      </c>
      <c r="L20" s="5">
        <v>46.811070000000001</v>
      </c>
      <c r="M20" s="5">
        <v>31.916630000000001</v>
      </c>
      <c r="N20" s="5">
        <v>43.992510000000003</v>
      </c>
      <c r="O20" s="5">
        <v>39.977760000000004</v>
      </c>
      <c r="P20" s="2">
        <v>51.110550000000003</v>
      </c>
      <c r="R20" s="2" t="s">
        <v>91</v>
      </c>
      <c r="S20" s="7">
        <f>B$7/SUM(K$20:K$23)*K20</f>
        <v>1167.7048733254201</v>
      </c>
      <c r="T20" s="7">
        <f t="shared" ref="T20:X23" si="15">C$7/SUM(L$20:L$23)*L20</f>
        <v>2105.3741841305387</v>
      </c>
      <c r="U20" s="7">
        <f t="shared" si="15"/>
        <v>4104.5070657496944</v>
      </c>
      <c r="V20" s="7">
        <f t="shared" si="15"/>
        <v>1020.7284490672348</v>
      </c>
      <c r="W20" s="7">
        <f t="shared" si="15"/>
        <v>1198.104143024409</v>
      </c>
      <c r="X20" s="7">
        <f t="shared" si="15"/>
        <v>2286.5239286337983</v>
      </c>
      <c r="Z20" s="2" t="s">
        <v>38</v>
      </c>
      <c r="AA20" s="5">
        <v>40.606059999999999</v>
      </c>
      <c r="AB20" s="5">
        <v>70.902519999999996</v>
      </c>
      <c r="AC20" s="5">
        <v>30.085809999999999</v>
      </c>
      <c r="AD20" s="5">
        <v>62.318840000000002</v>
      </c>
      <c r="AE20" s="5">
        <v>61.207850000000001</v>
      </c>
      <c r="AF20" s="2">
        <v>79.211380000000005</v>
      </c>
      <c r="AH20" s="2" t="s">
        <v>38</v>
      </c>
      <c r="AI20">
        <f t="shared" si="3"/>
        <v>848.37357103478575</v>
      </c>
      <c r="AJ20">
        <f t="shared" si="4"/>
        <v>2705.6787263809888</v>
      </c>
      <c r="AK20">
        <f t="shared" si="5"/>
        <v>3315.5872807469859</v>
      </c>
      <c r="AL20">
        <f t="shared" si="6"/>
        <v>1221.8739318155897</v>
      </c>
      <c r="AM20">
        <f t="shared" si="7"/>
        <v>1489.411561784975</v>
      </c>
      <c r="AN20">
        <f t="shared" si="8"/>
        <v>4426.0461457553683</v>
      </c>
    </row>
    <row r="21" spans="9:40" x14ac:dyDescent="0.4">
      <c r="I21" s="1"/>
      <c r="J21" s="2" t="s">
        <v>92</v>
      </c>
      <c r="K21" s="5">
        <v>43.333329999999997</v>
      </c>
      <c r="L21" s="5">
        <v>47.557160000000003</v>
      </c>
      <c r="M21" s="5">
        <v>36.134039999999999</v>
      </c>
      <c r="N21" s="5">
        <v>43.478259999999999</v>
      </c>
      <c r="O21" s="5">
        <v>42.608370000000001</v>
      </c>
      <c r="P21" s="2">
        <v>60.194650000000003</v>
      </c>
      <c r="R21" s="2" t="s">
        <v>92</v>
      </c>
      <c r="S21" s="7">
        <f t="shared" ref="S21:S23" si="16">B$7/SUM(K$20:K$23)*K21</f>
        <v>1074.3314930844072</v>
      </c>
      <c r="T21" s="7">
        <f t="shared" si="15"/>
        <v>2138.9303199983569</v>
      </c>
      <c r="U21" s="7">
        <f t="shared" si="15"/>
        <v>4646.8697507876641</v>
      </c>
      <c r="V21" s="7">
        <f t="shared" si="15"/>
        <v>1008.7966542018628</v>
      </c>
      <c r="W21" s="7">
        <f t="shared" si="15"/>
        <v>1276.9415951398209</v>
      </c>
      <c r="X21" s="7">
        <f t="shared" si="15"/>
        <v>2692.9177557419448</v>
      </c>
      <c r="Z21" s="2" t="s">
        <v>39</v>
      </c>
      <c r="AA21" s="5">
        <v>39.264060000000001</v>
      </c>
      <c r="AB21" s="5">
        <v>69.699150000000003</v>
      </c>
      <c r="AC21" s="5">
        <v>33.461379999999998</v>
      </c>
      <c r="AD21" s="5">
        <v>58.064509999999999</v>
      </c>
      <c r="AE21" s="5">
        <v>62.060020000000002</v>
      </c>
      <c r="AF21" s="2">
        <v>76.566000000000003</v>
      </c>
      <c r="AH21" s="2" t="s">
        <v>39</v>
      </c>
      <c r="AI21">
        <f t="shared" si="3"/>
        <v>820.33545720821201</v>
      </c>
      <c r="AJ21">
        <f t="shared" si="4"/>
        <v>2659.7574726799203</v>
      </c>
      <c r="AK21">
        <f t="shared" si="5"/>
        <v>3687.5897947983312</v>
      </c>
      <c r="AL21">
        <f t="shared" si="6"/>
        <v>1138.4600729513838</v>
      </c>
      <c r="AM21">
        <f t="shared" si="7"/>
        <v>1510.147984492296</v>
      </c>
      <c r="AN21">
        <f t="shared" si="8"/>
        <v>4278.2318550176187</v>
      </c>
    </row>
    <row r="22" spans="9:40" x14ac:dyDescent="0.4">
      <c r="I22" s="1"/>
      <c r="J22" s="2" t="s">
        <v>93</v>
      </c>
      <c r="K22" s="5">
        <v>41.515149999999998</v>
      </c>
      <c r="L22" s="5">
        <v>46.61853</v>
      </c>
      <c r="M22" s="5">
        <v>43.351039999999998</v>
      </c>
      <c r="N22" s="5">
        <v>44.647030000000001</v>
      </c>
      <c r="O22" s="5">
        <v>41.79325</v>
      </c>
      <c r="P22" s="2">
        <v>53.431489999999997</v>
      </c>
      <c r="R22" s="2" t="s">
        <v>93</v>
      </c>
      <c r="S22" s="7">
        <f t="shared" si="16"/>
        <v>1029.2546888301251</v>
      </c>
      <c r="T22" s="7">
        <f t="shared" si="15"/>
        <v>2096.7145071478826</v>
      </c>
      <c r="U22" s="7">
        <f t="shared" si="15"/>
        <v>5574.9823834031858</v>
      </c>
      <c r="V22" s="7">
        <f t="shared" si="15"/>
        <v>1035.9148338514512</v>
      </c>
      <c r="W22" s="7">
        <f t="shared" si="15"/>
        <v>1252.5130466403039</v>
      </c>
      <c r="X22" s="7">
        <f t="shared" si="15"/>
        <v>2390.3554242237169</v>
      </c>
      <c r="Z22" s="2" t="s">
        <v>40</v>
      </c>
      <c r="AA22" s="5">
        <v>38.311680000000003</v>
      </c>
      <c r="AB22" s="5">
        <v>67.605289999999997</v>
      </c>
      <c r="AC22" s="5">
        <v>29.750710000000002</v>
      </c>
      <c r="AD22" s="5">
        <v>64.329120000000003</v>
      </c>
      <c r="AE22" s="5">
        <v>60.94849</v>
      </c>
      <c r="AF22" s="2">
        <v>79.485889999999998</v>
      </c>
      <c r="AH22" s="2" t="s">
        <v>40</v>
      </c>
      <c r="AI22">
        <f t="shared" si="3"/>
        <v>800.43758921555025</v>
      </c>
      <c r="AJ22">
        <f t="shared" si="4"/>
        <v>2579.8546362501274</v>
      </c>
      <c r="AK22">
        <f t="shared" si="5"/>
        <v>3278.6578014416818</v>
      </c>
      <c r="AL22">
        <f t="shared" si="6"/>
        <v>1261.2891187422117</v>
      </c>
      <c r="AM22">
        <f t="shared" si="7"/>
        <v>1483.1003813944767</v>
      </c>
      <c r="AN22">
        <f t="shared" si="8"/>
        <v>4441.3847742134421</v>
      </c>
    </row>
    <row r="23" spans="9:40" x14ac:dyDescent="0.4">
      <c r="I23" s="1"/>
      <c r="J23" s="2" t="s">
        <v>94</v>
      </c>
      <c r="K23" s="5">
        <v>37.056269999999998</v>
      </c>
      <c r="L23" s="5">
        <v>48.447650000000003</v>
      </c>
      <c r="M23" s="5">
        <v>39.297089999999997</v>
      </c>
      <c r="N23" s="5">
        <v>41.140709999999999</v>
      </c>
      <c r="O23" s="5">
        <v>45.461280000000002</v>
      </c>
      <c r="P23" s="2">
        <v>57.898670000000003</v>
      </c>
      <c r="R23" s="2" t="s">
        <v>94</v>
      </c>
      <c r="S23" s="7">
        <f t="shared" si="16"/>
        <v>918.70894476004787</v>
      </c>
      <c r="T23" s="7">
        <f t="shared" si="15"/>
        <v>2178.9809887232209</v>
      </c>
      <c r="U23" s="7">
        <f t="shared" si="15"/>
        <v>5053.6408000594565</v>
      </c>
      <c r="V23" s="7">
        <f t="shared" si="15"/>
        <v>954.56006287945092</v>
      </c>
      <c r="W23" s="7">
        <f t="shared" si="15"/>
        <v>1362.4412151954662</v>
      </c>
      <c r="X23" s="7">
        <f t="shared" si="15"/>
        <v>2590.2028914005391</v>
      </c>
      <c r="Z23" s="2" t="s">
        <v>41</v>
      </c>
      <c r="AA23" s="5">
        <v>36.796529999999997</v>
      </c>
      <c r="AB23" s="5">
        <v>60.93862</v>
      </c>
      <c r="AC23" s="5">
        <v>32.439720000000001</v>
      </c>
      <c r="AD23" s="5">
        <v>63.207099999999997</v>
      </c>
      <c r="AE23" s="5">
        <v>59.540570000000002</v>
      </c>
      <c r="AF23" s="2">
        <v>79.810329999999993</v>
      </c>
      <c r="AH23" s="2" t="s">
        <v>41</v>
      </c>
      <c r="AI23">
        <f t="shared" si="3"/>
        <v>768.78189013631516</v>
      </c>
      <c r="AJ23">
        <f t="shared" si="4"/>
        <v>2325.4508831140988</v>
      </c>
      <c r="AK23">
        <f t="shared" si="5"/>
        <v>3574.9984136373137</v>
      </c>
      <c r="AL23">
        <f t="shared" si="6"/>
        <v>1239.2898808074917</v>
      </c>
      <c r="AM23">
        <f t="shared" si="7"/>
        <v>1448.8405221432811</v>
      </c>
      <c r="AN23">
        <f t="shared" si="8"/>
        <v>4459.5133109404733</v>
      </c>
    </row>
    <row r="24" spans="9:40" x14ac:dyDescent="0.4">
      <c r="I24" s="1">
        <v>12</v>
      </c>
      <c r="J24" s="2" t="s">
        <v>95</v>
      </c>
      <c r="K24" s="5">
        <v>28.528130000000001</v>
      </c>
      <c r="L24" s="5">
        <v>41.78098</v>
      </c>
      <c r="M24" s="5">
        <v>35.447479999999999</v>
      </c>
      <c r="N24" s="5">
        <v>40.439450000000001</v>
      </c>
      <c r="O24" s="5">
        <v>44.757309999999997</v>
      </c>
      <c r="P24" s="2">
        <v>51.260289999999998</v>
      </c>
      <c r="R24" s="2" t="s">
        <v>95</v>
      </c>
      <c r="S24" s="7">
        <f>B$8/SUM(K$24:K$27)*K24</f>
        <v>745.88637346121391</v>
      </c>
      <c r="T24" s="7">
        <f t="shared" ref="T24:X27" si="17">C$8/SUM(L$24:L$27)*L24</f>
        <v>1951.5816321819725</v>
      </c>
      <c r="U24" s="7">
        <f t="shared" si="17"/>
        <v>4842.8244211006186</v>
      </c>
      <c r="V24" s="7">
        <f t="shared" si="17"/>
        <v>998.72795258439612</v>
      </c>
      <c r="W24" s="7">
        <f t="shared" si="17"/>
        <v>1380.3534548765715</v>
      </c>
      <c r="X24" s="7">
        <f t="shared" si="17"/>
        <v>2349.2625466320937</v>
      </c>
      <c r="Z24" s="2" t="s">
        <v>42</v>
      </c>
      <c r="AA24" s="5">
        <v>37.27272</v>
      </c>
      <c r="AB24" s="5">
        <v>62.238259999999997</v>
      </c>
      <c r="AC24" s="5">
        <v>31.27094</v>
      </c>
      <c r="AD24" s="5">
        <v>60.729309999999998</v>
      </c>
      <c r="AE24" s="5">
        <v>65.542789999999997</v>
      </c>
      <c r="AF24" s="2">
        <v>75.19341</v>
      </c>
      <c r="AH24" s="2" t="s">
        <v>42</v>
      </c>
      <c r="AI24">
        <f t="shared" si="3"/>
        <v>778.73082413264626</v>
      </c>
      <c r="AJ24">
        <f t="shared" si="4"/>
        <v>2375.0458523754705</v>
      </c>
      <c r="AK24">
        <f t="shared" si="5"/>
        <v>3446.1937677929282</v>
      </c>
      <c r="AL24">
        <f t="shared" si="6"/>
        <v>1190.7083120633793</v>
      </c>
      <c r="AM24">
        <f t="shared" si="7"/>
        <v>1594.8965568574067</v>
      </c>
      <c r="AN24">
        <f t="shared" si="8"/>
        <v>4201.5364776715569</v>
      </c>
    </row>
    <row r="25" spans="9:40" x14ac:dyDescent="0.4">
      <c r="I25" s="1"/>
      <c r="J25" s="2" t="s">
        <v>96</v>
      </c>
      <c r="K25" s="5">
        <v>26.96969</v>
      </c>
      <c r="L25" s="5">
        <v>43.104689999999998</v>
      </c>
      <c r="M25" s="5">
        <v>32.897419999999997</v>
      </c>
      <c r="N25" s="5">
        <v>41.514719999999997</v>
      </c>
      <c r="O25" s="5">
        <v>45.090769999999999</v>
      </c>
      <c r="P25" s="2">
        <v>51.335160000000002</v>
      </c>
      <c r="R25" s="2" t="s">
        <v>96</v>
      </c>
      <c r="S25" s="7">
        <f t="shared" ref="S25:S27" si="18">B$8/SUM(K$24:K$27)*K25</f>
        <v>705.13995370440216</v>
      </c>
      <c r="T25" s="7">
        <f t="shared" si="17"/>
        <v>2013.4118746113172</v>
      </c>
      <c r="U25" s="7">
        <f t="shared" si="17"/>
        <v>4494.4359646215726</v>
      </c>
      <c r="V25" s="7">
        <f t="shared" si="17"/>
        <v>1025.2837589955966</v>
      </c>
      <c r="W25" s="7">
        <f t="shared" si="17"/>
        <v>1390.6376444997447</v>
      </c>
      <c r="X25" s="7">
        <f t="shared" si="17"/>
        <v>2352.6938437797758</v>
      </c>
      <c r="Z25" s="2" t="s">
        <v>43</v>
      </c>
      <c r="AA25" s="5">
        <v>42.5974</v>
      </c>
      <c r="AB25" s="5">
        <v>61.371839999999999</v>
      </c>
      <c r="AC25" s="5">
        <v>33.379640000000002</v>
      </c>
      <c r="AD25" s="5">
        <v>65.825149999999994</v>
      </c>
      <c r="AE25" s="5">
        <v>70.841049999999996</v>
      </c>
      <c r="AF25" s="2">
        <v>78.512600000000006</v>
      </c>
      <c r="AH25" s="2" t="s">
        <v>43</v>
      </c>
      <c r="AI25">
        <f t="shared" si="3"/>
        <v>889.97820411035161</v>
      </c>
      <c r="AJ25">
        <f t="shared" si="4"/>
        <v>2341.9827939381817</v>
      </c>
      <c r="AK25">
        <f t="shared" si="5"/>
        <v>3678.5816908340948</v>
      </c>
      <c r="AL25">
        <f t="shared" si="6"/>
        <v>1290.6215013445526</v>
      </c>
      <c r="AM25">
        <f t="shared" si="7"/>
        <v>1723.8226619459349</v>
      </c>
      <c r="AN25">
        <f t="shared" si="8"/>
        <v>4387.0008403241172</v>
      </c>
    </row>
    <row r="26" spans="9:40" x14ac:dyDescent="0.4">
      <c r="I26" s="1"/>
      <c r="J26" s="2" t="s">
        <v>97</v>
      </c>
      <c r="K26" s="5">
        <v>25.80086</v>
      </c>
      <c r="L26" s="5">
        <v>42.839950000000002</v>
      </c>
      <c r="M26" s="5">
        <v>30.21659</v>
      </c>
      <c r="N26" s="5">
        <v>42.122480000000003</v>
      </c>
      <c r="O26" s="5">
        <v>42.978879999999997</v>
      </c>
      <c r="P26" s="2">
        <v>49.613169999999997</v>
      </c>
      <c r="R26" s="2" t="s">
        <v>97</v>
      </c>
      <c r="S26" s="7">
        <f t="shared" si="18"/>
        <v>674.58013888679341</v>
      </c>
      <c r="T26" s="7">
        <f t="shared" si="17"/>
        <v>2001.045919545068</v>
      </c>
      <c r="U26" s="7">
        <f t="shared" si="17"/>
        <v>4128.1817487275466</v>
      </c>
      <c r="V26" s="7">
        <f t="shared" si="17"/>
        <v>1040.2935304060065</v>
      </c>
      <c r="W26" s="7">
        <f t="shared" si="17"/>
        <v>1325.5051631727999</v>
      </c>
      <c r="X26" s="7">
        <f t="shared" si="17"/>
        <v>2273.7749259844413</v>
      </c>
      <c r="Z26" s="2" t="s">
        <v>44</v>
      </c>
      <c r="AA26" s="5">
        <v>48.008650000000003</v>
      </c>
      <c r="AB26" s="5">
        <v>62.190130000000003</v>
      </c>
      <c r="AC26" s="5">
        <v>41.413969999999999</v>
      </c>
      <c r="AD26" s="5">
        <v>69.378209999999996</v>
      </c>
      <c r="AE26" s="5">
        <v>73.508700000000005</v>
      </c>
      <c r="AF26" s="2">
        <v>75.5428</v>
      </c>
      <c r="AH26" s="2" t="s">
        <v>44</v>
      </c>
      <c r="AI26">
        <f t="shared" si="3"/>
        <v>1003.0342722504761</v>
      </c>
      <c r="AJ26">
        <f t="shared" si="4"/>
        <v>2373.2091853980387</v>
      </c>
      <c r="AK26">
        <f t="shared" si="5"/>
        <v>4563.9998450178755</v>
      </c>
      <c r="AL26">
        <f t="shared" si="6"/>
        <v>1360.2856894484501</v>
      </c>
      <c r="AM26">
        <f t="shared" si="7"/>
        <v>1788.7363740399833</v>
      </c>
      <c r="AN26">
        <f t="shared" si="8"/>
        <v>4221.0591303871815</v>
      </c>
    </row>
    <row r="27" spans="9:40" x14ac:dyDescent="0.4">
      <c r="I27" s="1"/>
      <c r="J27" s="2" t="s">
        <v>98</v>
      </c>
      <c r="K27" s="5">
        <v>25.411249999999999</v>
      </c>
      <c r="L27" s="5">
        <v>37.97833</v>
      </c>
      <c r="M27" s="5">
        <v>28.14058</v>
      </c>
      <c r="N27" s="5">
        <v>43.151000000000003</v>
      </c>
      <c r="O27" s="5">
        <v>43.238230000000001</v>
      </c>
      <c r="P27" s="2">
        <v>47.441969999999998</v>
      </c>
      <c r="R27" s="2" t="s">
        <v>98</v>
      </c>
      <c r="S27" s="7">
        <f t="shared" si="18"/>
        <v>664.39353394759041</v>
      </c>
      <c r="T27" s="7">
        <f t="shared" si="17"/>
        <v>1773.9605736616415</v>
      </c>
      <c r="U27" s="7">
        <f t="shared" si="17"/>
        <v>3844.5578655502632</v>
      </c>
      <c r="V27" s="7">
        <f t="shared" si="17"/>
        <v>1065.6947580140006</v>
      </c>
      <c r="W27" s="7">
        <f t="shared" si="17"/>
        <v>1333.503737450884</v>
      </c>
      <c r="X27" s="7">
        <f t="shared" si="17"/>
        <v>2174.2686836036901</v>
      </c>
      <c r="Z27" s="2" t="s">
        <v>45</v>
      </c>
      <c r="AA27" s="5">
        <v>67.705619999999996</v>
      </c>
      <c r="AB27" s="5">
        <v>68.231039999999993</v>
      </c>
      <c r="AC27" s="5">
        <v>55.038820000000001</v>
      </c>
      <c r="AD27" s="5">
        <v>72.276759999999996</v>
      </c>
      <c r="AE27" s="5">
        <v>79.473870000000005</v>
      </c>
      <c r="AF27" s="2">
        <v>76.715739999999997</v>
      </c>
      <c r="AH27" s="2" t="s">
        <v>45</v>
      </c>
      <c r="AI27">
        <f t="shared" si="3"/>
        <v>1414.5587781361751</v>
      </c>
      <c r="AJ27">
        <f t="shared" si="4"/>
        <v>2603.7335965893776</v>
      </c>
      <c r="AK27">
        <f t="shared" si="5"/>
        <v>6065.5176489954174</v>
      </c>
      <c r="AL27">
        <f t="shared" si="6"/>
        <v>1417.1170214351187</v>
      </c>
      <c r="AM27">
        <f t="shared" si="7"/>
        <v>1933.8908463178507</v>
      </c>
      <c r="AN27">
        <f t="shared" si="8"/>
        <v>4286.5987860048763</v>
      </c>
    </row>
    <row r="28" spans="9:40" x14ac:dyDescent="0.4">
      <c r="I28" s="1">
        <v>1</v>
      </c>
      <c r="J28" s="2" t="s">
        <v>99</v>
      </c>
      <c r="K28" s="5">
        <v>24.112549999999999</v>
      </c>
      <c r="L28" s="5">
        <v>40.024059999999999</v>
      </c>
      <c r="M28" s="5">
        <v>29.758880000000001</v>
      </c>
      <c r="N28" s="5">
        <v>46.189799999999998</v>
      </c>
      <c r="O28" s="5">
        <v>46.350499999999997</v>
      </c>
      <c r="P28" s="2">
        <v>48.115789999999997</v>
      </c>
      <c r="R28" s="2" t="s">
        <v>99</v>
      </c>
      <c r="S28" s="7">
        <f>B$9/SUM(K$28:K$32)*K28</f>
        <v>512.76880742940295</v>
      </c>
      <c r="T28" s="7">
        <f t="shared" ref="T28:X32" si="19">C$9/SUM(L$28:L$32)*L28</f>
        <v>1507.5724172927562</v>
      </c>
      <c r="U28" s="7">
        <f t="shared" si="19"/>
        <v>3296.7228997201987</v>
      </c>
      <c r="V28" s="7">
        <f t="shared" si="19"/>
        <v>887.42509923402861</v>
      </c>
      <c r="W28" s="7">
        <f t="shared" si="19"/>
        <v>1158.8744433758536</v>
      </c>
      <c r="X28" s="7">
        <f t="shared" si="19"/>
        <v>1738.3941762486154</v>
      </c>
      <c r="Z28" s="2" t="s">
        <v>46</v>
      </c>
      <c r="AA28" s="5">
        <v>98.614710000000002</v>
      </c>
      <c r="AB28" s="5">
        <v>73.718410000000006</v>
      </c>
      <c r="AC28" s="5">
        <v>82.811599999999999</v>
      </c>
      <c r="AD28" s="5">
        <v>79.616640000000004</v>
      </c>
      <c r="AE28" s="5">
        <v>88.477209999999999</v>
      </c>
      <c r="AF28" s="2">
        <v>72.298469999999995</v>
      </c>
      <c r="AH28" s="2" t="s">
        <v>46</v>
      </c>
      <c r="AI28">
        <f t="shared" si="3"/>
        <v>2060.3356661360349</v>
      </c>
      <c r="AJ28">
        <f t="shared" si="4"/>
        <v>2813.1346203157741</v>
      </c>
      <c r="AK28">
        <f t="shared" si="5"/>
        <v>9126.1989508777442</v>
      </c>
      <c r="AL28">
        <f t="shared" si="6"/>
        <v>1561.0286865857315</v>
      </c>
      <c r="AM28">
        <f t="shared" si="7"/>
        <v>2152.9751417257298</v>
      </c>
      <c r="AN28">
        <f t="shared" si="8"/>
        <v>4039.777674464327</v>
      </c>
    </row>
    <row r="29" spans="9:40" x14ac:dyDescent="0.4">
      <c r="I29" s="1"/>
      <c r="J29" s="2" t="s">
        <v>100</v>
      </c>
      <c r="K29" s="5">
        <v>23.549779999999998</v>
      </c>
      <c r="L29" s="5">
        <v>43.008420000000001</v>
      </c>
      <c r="M29" s="5">
        <v>34.720059999999997</v>
      </c>
      <c r="N29" s="5">
        <v>43.94576</v>
      </c>
      <c r="O29" s="5">
        <v>46.054090000000002</v>
      </c>
      <c r="P29" s="2">
        <v>47.916139999999999</v>
      </c>
      <c r="R29" s="2" t="s">
        <v>100</v>
      </c>
      <c r="S29" s="7">
        <f t="shared" ref="S29:S32" si="20">B$9/SUM(K$28:K$32)*K29</f>
        <v>500.80114321483234</v>
      </c>
      <c r="T29" s="7">
        <f t="shared" si="19"/>
        <v>1619.983272645057</v>
      </c>
      <c r="U29" s="7">
        <f t="shared" si="19"/>
        <v>3846.3281172429633</v>
      </c>
      <c r="V29" s="7">
        <f t="shared" si="19"/>
        <v>844.31130745131622</v>
      </c>
      <c r="W29" s="7">
        <f t="shared" si="19"/>
        <v>1151.4634775014613</v>
      </c>
      <c r="X29" s="7">
        <f t="shared" si="19"/>
        <v>1731.1809433932879</v>
      </c>
      <c r="Z29" s="2" t="s">
        <v>47</v>
      </c>
      <c r="AA29" s="5">
        <v>100</v>
      </c>
      <c r="AB29" s="5">
        <v>85.776169999999993</v>
      </c>
      <c r="AC29" s="5">
        <v>100</v>
      </c>
      <c r="AD29" s="5">
        <v>85.226740000000007</v>
      </c>
      <c r="AE29" s="5">
        <v>89.107069999999993</v>
      </c>
      <c r="AF29" s="2">
        <v>69.178929999999994</v>
      </c>
      <c r="AH29" s="2" t="s">
        <v>47</v>
      </c>
      <c r="AI29">
        <f t="shared" si="3"/>
        <v>2089.2782285077296</v>
      </c>
      <c r="AJ29">
        <f t="shared" si="4"/>
        <v>3273.265300012456</v>
      </c>
      <c r="AK29">
        <f t="shared" si="5"/>
        <v>11020.435483528567</v>
      </c>
      <c r="AL29">
        <f t="shared" si="6"/>
        <v>1671.0248762593303</v>
      </c>
      <c r="AM29">
        <f t="shared" si="7"/>
        <v>2168.3019464788104</v>
      </c>
      <c r="AN29">
        <f t="shared" si="8"/>
        <v>3865.4690335401351</v>
      </c>
    </row>
    <row r="30" spans="9:40" x14ac:dyDescent="0.4">
      <c r="I30" s="1"/>
      <c r="J30" s="2" t="s">
        <v>101</v>
      </c>
      <c r="K30" s="5">
        <v>24.848479999999999</v>
      </c>
      <c r="L30" s="5">
        <v>46.835129999999999</v>
      </c>
      <c r="M30" s="5">
        <v>33.870040000000003</v>
      </c>
      <c r="N30" s="5">
        <v>47.685830000000003</v>
      </c>
      <c r="O30" s="5">
        <v>47.499070000000003</v>
      </c>
      <c r="P30" s="2">
        <v>48.04092</v>
      </c>
      <c r="R30" s="2" t="s">
        <v>101</v>
      </c>
      <c r="S30" s="7">
        <f t="shared" si="20"/>
        <v>528.41882986384155</v>
      </c>
      <c r="T30" s="7">
        <f t="shared" si="19"/>
        <v>1764.1226339436951</v>
      </c>
      <c r="U30" s="7">
        <f t="shared" si="19"/>
        <v>3752.1619255307705</v>
      </c>
      <c r="V30" s="7">
        <f t="shared" si="19"/>
        <v>916.16769113109433</v>
      </c>
      <c r="W30" s="7">
        <f t="shared" si="19"/>
        <v>1187.5914673438415</v>
      </c>
      <c r="X30" s="7">
        <f t="shared" si="19"/>
        <v>1735.6891687661293</v>
      </c>
      <c r="Z30" s="2" t="s">
        <v>48</v>
      </c>
      <c r="AA30" s="5">
        <v>73.549779999999998</v>
      </c>
      <c r="AB30" s="5">
        <v>91.095060000000004</v>
      </c>
      <c r="AC30" s="5">
        <v>83.800569999999993</v>
      </c>
      <c r="AD30" s="5">
        <v>91.678349999999995</v>
      </c>
      <c r="AE30" s="5">
        <v>81.474620000000002</v>
      </c>
      <c r="AF30" s="2">
        <v>76.341399999999993</v>
      </c>
      <c r="AH30" s="2" t="s">
        <v>48</v>
      </c>
      <c r="AI30">
        <f t="shared" si="3"/>
        <v>1536.6595406553324</v>
      </c>
      <c r="AJ30">
        <f t="shared" si="4"/>
        <v>3476.2370353042425</v>
      </c>
      <c r="AK30">
        <f t="shared" si="5"/>
        <v>9235.1877516791938</v>
      </c>
      <c r="AL30">
        <f t="shared" si="6"/>
        <v>1797.5203963498961</v>
      </c>
      <c r="AM30">
        <f t="shared" si="7"/>
        <v>1982.5764345592493</v>
      </c>
      <c r="AN30">
        <f t="shared" si="8"/>
        <v>4265.6820173006554</v>
      </c>
    </row>
    <row r="31" spans="9:40" x14ac:dyDescent="0.4">
      <c r="I31" s="1"/>
      <c r="J31" s="2" t="s">
        <v>102</v>
      </c>
      <c r="K31" s="4">
        <v>26.017309999999998</v>
      </c>
      <c r="L31" s="5">
        <v>40.962690000000002</v>
      </c>
      <c r="M31" s="5">
        <v>32.73395</v>
      </c>
      <c r="N31" s="5">
        <v>47.63908</v>
      </c>
      <c r="O31" s="5">
        <v>47.758420000000001</v>
      </c>
      <c r="P31" s="2">
        <v>45.195900000000002</v>
      </c>
      <c r="R31" s="2" t="s">
        <v>102</v>
      </c>
      <c r="S31" s="7">
        <f t="shared" si="20"/>
        <v>553.27474784794981</v>
      </c>
      <c r="T31" s="7">
        <f t="shared" si="19"/>
        <v>1542.9274686804342</v>
      </c>
      <c r="U31" s="7">
        <f t="shared" si="19"/>
        <v>3626.3045707128763</v>
      </c>
      <c r="V31" s="7">
        <f t="shared" si="19"/>
        <v>915.26950314610212</v>
      </c>
      <c r="W31" s="7">
        <f t="shared" si="19"/>
        <v>1194.0758437128025</v>
      </c>
      <c r="X31" s="7">
        <f t="shared" si="19"/>
        <v>1632.9003296072829</v>
      </c>
      <c r="Z31" s="2" t="s">
        <v>49</v>
      </c>
      <c r="AA31" s="5">
        <v>55.23809</v>
      </c>
      <c r="AB31" s="5">
        <v>83.898910000000001</v>
      </c>
      <c r="AC31" s="5">
        <v>61.937060000000002</v>
      </c>
      <c r="AD31" s="5">
        <v>92.940619999999996</v>
      </c>
      <c r="AE31" s="5">
        <v>87.365690000000001</v>
      </c>
      <c r="AF31" s="2">
        <v>78.837029999999999</v>
      </c>
      <c r="AH31" s="2" t="s">
        <v>49</v>
      </c>
      <c r="AI31">
        <f t="shared" si="3"/>
        <v>1154.0773882135052</v>
      </c>
      <c r="AJ31">
        <f t="shared" si="4"/>
        <v>3201.6280373892664</v>
      </c>
      <c r="AK31">
        <f t="shared" si="5"/>
        <v>6825.7337376943797</v>
      </c>
      <c r="AL31">
        <f t="shared" si="6"/>
        <v>1822.2694900094198</v>
      </c>
      <c r="AM31">
        <f t="shared" si="7"/>
        <v>2125.9277819645999</v>
      </c>
      <c r="AN31">
        <f t="shared" si="8"/>
        <v>4405.1288182872249</v>
      </c>
    </row>
    <row r="32" spans="9:40" x14ac:dyDescent="0.4">
      <c r="I32" s="1"/>
      <c r="J32" s="2" t="s">
        <v>103</v>
      </c>
      <c r="K32" s="5">
        <v>24.675319999999999</v>
      </c>
      <c r="L32" s="5">
        <v>43.417560000000002</v>
      </c>
      <c r="M32" s="5">
        <v>36.003259999999997</v>
      </c>
      <c r="N32" s="5">
        <v>48.761099999999999</v>
      </c>
      <c r="O32" s="5">
        <v>50.314929999999997</v>
      </c>
      <c r="P32" s="2">
        <v>45.719990000000003</v>
      </c>
      <c r="R32" s="2" t="s">
        <v>103</v>
      </c>
      <c r="S32" s="7">
        <f t="shared" si="20"/>
        <v>524.73647164397369</v>
      </c>
      <c r="T32" s="7">
        <f t="shared" si="19"/>
        <v>1635.3942074380582</v>
      </c>
      <c r="U32" s="7">
        <f t="shared" si="19"/>
        <v>3988.4824867931939</v>
      </c>
      <c r="V32" s="7">
        <f t="shared" si="19"/>
        <v>936.82639903745826</v>
      </c>
      <c r="W32" s="7">
        <f t="shared" si="19"/>
        <v>1257.9947680660412</v>
      </c>
      <c r="X32" s="7">
        <f t="shared" si="19"/>
        <v>1651.8353819846861</v>
      </c>
      <c r="Z32" s="2" t="s">
        <v>50</v>
      </c>
      <c r="AA32" s="5">
        <v>39.480510000000002</v>
      </c>
      <c r="AB32" s="5">
        <v>75.884469999999993</v>
      </c>
      <c r="AC32" s="5">
        <v>45.843890000000002</v>
      </c>
      <c r="AD32" s="5">
        <v>85.413740000000004</v>
      </c>
      <c r="AE32" s="5">
        <v>90.774360000000001</v>
      </c>
      <c r="AF32" s="2">
        <v>73.870720000000006</v>
      </c>
      <c r="AH32" s="2" t="s">
        <v>50</v>
      </c>
      <c r="AI32">
        <f t="shared" si="3"/>
        <v>824.85769993381712</v>
      </c>
      <c r="AJ32">
        <f t="shared" si="4"/>
        <v>2895.7926480144338</v>
      </c>
      <c r="AK32">
        <f t="shared" si="5"/>
        <v>5052.1963205898046</v>
      </c>
      <c r="AL32">
        <f t="shared" si="6"/>
        <v>1674.6913505590685</v>
      </c>
      <c r="AM32">
        <f t="shared" si="7"/>
        <v>2208.8732294571946</v>
      </c>
      <c r="AN32">
        <f t="shared" si="8"/>
        <v>4127.6293323026821</v>
      </c>
    </row>
    <row r="33" spans="9:40" x14ac:dyDescent="0.4">
      <c r="I33" s="1">
        <v>2</v>
      </c>
      <c r="J33" s="2" t="s">
        <v>104</v>
      </c>
      <c r="K33" s="5">
        <v>24.63203</v>
      </c>
      <c r="L33" s="5">
        <v>45.246690000000001</v>
      </c>
      <c r="M33" s="5">
        <v>32.333460000000002</v>
      </c>
      <c r="N33" s="5">
        <v>46.283299999999997</v>
      </c>
      <c r="O33" s="5">
        <v>47.536119999999997</v>
      </c>
      <c r="P33" s="2">
        <v>48.190660000000001</v>
      </c>
      <c r="R33" s="2" t="s">
        <v>104</v>
      </c>
      <c r="S33" s="7">
        <f>B$10/SUM(K$33:K$36)*K33</f>
        <v>603.93345755896632</v>
      </c>
      <c r="T33" s="7">
        <f t="shared" ref="T33:X36" si="21">C$10/SUM(L$33:L$36)*L33</f>
        <v>1944.6434660849432</v>
      </c>
      <c r="U33" s="7">
        <f t="shared" si="21"/>
        <v>4039.3050068687426</v>
      </c>
      <c r="V33" s="7">
        <f t="shared" si="21"/>
        <v>1044.0578098078208</v>
      </c>
      <c r="W33" s="7">
        <f t="shared" si="21"/>
        <v>1343.4555302195911</v>
      </c>
      <c r="X33" s="7">
        <f t="shared" si="21"/>
        <v>1981.5090140233499</v>
      </c>
      <c r="Z33" s="2" t="s">
        <v>51</v>
      </c>
      <c r="AA33" s="5">
        <v>30.043289999999999</v>
      </c>
      <c r="AB33" s="5">
        <v>67.918170000000003</v>
      </c>
      <c r="AC33" s="5">
        <v>35.169589999999999</v>
      </c>
      <c r="AD33" s="5">
        <v>100</v>
      </c>
      <c r="AE33" s="5">
        <v>99.444230000000005</v>
      </c>
      <c r="AF33" s="2">
        <v>70.925870000000003</v>
      </c>
      <c r="AH33" s="2" t="s">
        <v>51</v>
      </c>
      <c r="AI33">
        <f t="shared" si="3"/>
        <v>627.68791709743994</v>
      </c>
      <c r="AJ33">
        <f t="shared" si="4"/>
        <v>2591.7943072224725</v>
      </c>
      <c r="AK33">
        <f t="shared" si="5"/>
        <v>3875.8419757715146</v>
      </c>
      <c r="AL33">
        <f t="shared" si="6"/>
        <v>1960.6814437104244</v>
      </c>
      <c r="AM33">
        <f t="shared" si="7"/>
        <v>2419.8429762653686</v>
      </c>
      <c r="AN33">
        <f t="shared" si="8"/>
        <v>3963.0817383543417</v>
      </c>
    </row>
    <row r="34" spans="9:40" x14ac:dyDescent="0.4">
      <c r="I34" s="1"/>
      <c r="J34" s="2" t="s">
        <v>105</v>
      </c>
      <c r="K34" s="5">
        <v>22.987010000000001</v>
      </c>
      <c r="L34" s="5">
        <v>42.406730000000003</v>
      </c>
      <c r="M34" s="5">
        <v>31.630559999999999</v>
      </c>
      <c r="N34" s="5">
        <v>42.823740000000001</v>
      </c>
      <c r="O34" s="5">
        <v>47.09151</v>
      </c>
      <c r="P34" s="2">
        <v>43.324179999999998</v>
      </c>
      <c r="R34" s="2" t="s">
        <v>105</v>
      </c>
      <c r="S34" s="7">
        <f t="shared" ref="S34:S36" si="22">B$10/SUM(K$33:K$36)*K34</f>
        <v>563.60050017162757</v>
      </c>
      <c r="T34" s="7">
        <f t="shared" si="21"/>
        <v>1822.5857054411792</v>
      </c>
      <c r="U34" s="7">
        <f t="shared" si="21"/>
        <v>3951.494191406121</v>
      </c>
      <c r="V34" s="7">
        <f t="shared" si="21"/>
        <v>966.01712047713909</v>
      </c>
      <c r="W34" s="7">
        <f t="shared" si="21"/>
        <v>1330.8900586730929</v>
      </c>
      <c r="X34" s="7">
        <f t="shared" si="21"/>
        <v>1781.4085384008049</v>
      </c>
      <c r="Z34" s="2" t="s">
        <v>52</v>
      </c>
      <c r="AA34" s="5">
        <v>32.943719999999999</v>
      </c>
      <c r="AB34" s="5">
        <v>70.228639999999999</v>
      </c>
      <c r="AC34" s="5">
        <v>38.161009999999997</v>
      </c>
      <c r="AD34" s="5">
        <v>80.317899999999995</v>
      </c>
      <c r="AE34" s="5">
        <v>82.993700000000004</v>
      </c>
      <c r="AF34" s="2">
        <v>74.36985</v>
      </c>
      <c r="AH34" s="2" t="s">
        <v>52</v>
      </c>
      <c r="AI34">
        <f t="shared" si="3"/>
        <v>688.28596962054667</v>
      </c>
      <c r="AJ34">
        <f t="shared" si="4"/>
        <v>2679.9630990643063</v>
      </c>
      <c r="AK34">
        <f t="shared" si="5"/>
        <v>4205.5094869128843</v>
      </c>
      <c r="AL34">
        <f t="shared" si="6"/>
        <v>1574.7781612778949</v>
      </c>
      <c r="AM34">
        <f t="shared" si="7"/>
        <v>2019.54122445591</v>
      </c>
      <c r="AN34">
        <f t="shared" si="8"/>
        <v>4155.5189160055652</v>
      </c>
    </row>
    <row r="35" spans="9:40" x14ac:dyDescent="0.4">
      <c r="I35" s="1"/>
      <c r="J35" s="2" t="s">
        <v>106</v>
      </c>
      <c r="K35" s="5">
        <v>18.87445</v>
      </c>
      <c r="L35" s="5">
        <v>40.36101</v>
      </c>
      <c r="M35" s="5">
        <v>26.07274</v>
      </c>
      <c r="N35" s="5">
        <v>45.675539999999998</v>
      </c>
      <c r="O35" s="5">
        <v>50.574280000000002</v>
      </c>
      <c r="P35" s="2">
        <v>42.251060000000003</v>
      </c>
      <c r="R35" s="2" t="s">
        <v>106</v>
      </c>
      <c r="S35" s="7">
        <f t="shared" si="22"/>
        <v>462.76786152111015</v>
      </c>
      <c r="T35" s="7">
        <f t="shared" si="21"/>
        <v>1734.663339596533</v>
      </c>
      <c r="U35" s="7">
        <f t="shared" si="21"/>
        <v>3257.1753602858134</v>
      </c>
      <c r="V35" s="7">
        <f t="shared" si="21"/>
        <v>1030.3479711729613</v>
      </c>
      <c r="W35" s="7">
        <f t="shared" si="21"/>
        <v>1429.319350272468</v>
      </c>
      <c r="X35" s="7">
        <f t="shared" si="21"/>
        <v>1737.2838687422293</v>
      </c>
      <c r="Z35" s="2" t="s">
        <v>53</v>
      </c>
      <c r="AA35" s="5">
        <v>32.380949999999999</v>
      </c>
      <c r="AB35" s="5">
        <v>73.06859</v>
      </c>
      <c r="AC35" s="5">
        <v>38.005719999999997</v>
      </c>
      <c r="AD35" s="5">
        <v>90.696579999999997</v>
      </c>
      <c r="AE35" s="5">
        <v>86.402370000000005</v>
      </c>
      <c r="AF35" s="2">
        <v>73.67107</v>
      </c>
      <c r="AH35" s="2" t="s">
        <v>53</v>
      </c>
      <c r="AI35">
        <f t="shared" si="3"/>
        <v>676.52813853397356</v>
      </c>
      <c r="AJ35">
        <f t="shared" si="4"/>
        <v>2788.3371356850876</v>
      </c>
      <c r="AK35">
        <f t="shared" si="5"/>
        <v>4188.395852650513</v>
      </c>
      <c r="AL35">
        <f t="shared" si="6"/>
        <v>1778.2710141399803</v>
      </c>
      <c r="AM35">
        <f t="shared" si="7"/>
        <v>2102.4866719485044</v>
      </c>
      <c r="AN35">
        <f t="shared" si="8"/>
        <v>4116.4736105743132</v>
      </c>
    </row>
    <row r="36" spans="9:40" x14ac:dyDescent="0.4">
      <c r="I36" s="1"/>
      <c r="J36" s="2" t="s">
        <v>107</v>
      </c>
      <c r="K36" s="5">
        <v>16.709949999999999</v>
      </c>
      <c r="L36" s="5">
        <v>41.371839999999999</v>
      </c>
      <c r="M36" s="5">
        <v>22.909680000000002</v>
      </c>
      <c r="N36" s="5">
        <v>39.878439999999998</v>
      </c>
      <c r="O36" s="5">
        <v>38.792140000000003</v>
      </c>
      <c r="P36" s="2">
        <v>39.880200000000002</v>
      </c>
      <c r="R36" s="2" t="s">
        <v>107</v>
      </c>
      <c r="S36" s="7">
        <f t="shared" si="22"/>
        <v>409.69818074829595</v>
      </c>
      <c r="T36" s="7">
        <f t="shared" si="21"/>
        <v>1778.1074888773453</v>
      </c>
      <c r="U36" s="7">
        <f t="shared" si="21"/>
        <v>2862.025441439323</v>
      </c>
      <c r="V36" s="7">
        <f t="shared" si="21"/>
        <v>899.57709854207872</v>
      </c>
      <c r="W36" s="7">
        <f t="shared" si="21"/>
        <v>1096.3350608348476</v>
      </c>
      <c r="X36" s="7">
        <f t="shared" si="21"/>
        <v>1639.7985788336164</v>
      </c>
      <c r="Z36" s="2" t="s">
        <v>54</v>
      </c>
      <c r="AA36" s="5">
        <v>32.164499999999997</v>
      </c>
      <c r="AB36" s="5">
        <v>69.867620000000002</v>
      </c>
      <c r="AC36" s="5">
        <v>37.466279999999998</v>
      </c>
      <c r="AD36" s="5">
        <v>84.478719999999996</v>
      </c>
      <c r="AE36" s="5">
        <v>80.066689999999994</v>
      </c>
      <c r="AF36" s="2">
        <v>68.904409999999999</v>
      </c>
      <c r="AH36" s="2" t="s">
        <v>54</v>
      </c>
      <c r="AI36">
        <f t="shared" si="3"/>
        <v>672.00589580836868</v>
      </c>
      <c r="AJ36">
        <f t="shared" si="4"/>
        <v>2666.1863795090908</v>
      </c>
      <c r="AK36">
        <f t="shared" si="5"/>
        <v>4128.947215478167</v>
      </c>
      <c r="AL36">
        <f t="shared" si="6"/>
        <v>1656.3585869240874</v>
      </c>
      <c r="AM36">
        <f t="shared" si="7"/>
        <v>1948.3163319713633</v>
      </c>
      <c r="AN36">
        <f t="shared" si="8"/>
        <v>3850.1298463181379</v>
      </c>
    </row>
    <row r="37" spans="9:40" x14ac:dyDescent="0.4">
      <c r="I37" s="1">
        <v>3</v>
      </c>
      <c r="J37" s="2" t="s">
        <v>108</v>
      </c>
      <c r="K37" s="5">
        <v>13.463200000000001</v>
      </c>
      <c r="L37" s="5">
        <v>39.663049999999998</v>
      </c>
      <c r="M37" s="5">
        <v>20.890879999999999</v>
      </c>
      <c r="N37" s="5">
        <v>38.990180000000002</v>
      </c>
      <c r="O37" s="5">
        <v>35.753979999999999</v>
      </c>
      <c r="P37" s="2">
        <v>42.77514</v>
      </c>
      <c r="R37" s="2" t="s">
        <v>108</v>
      </c>
      <c r="S37" s="7">
        <f>B$11/SUM(K$37:K$40)*K37</f>
        <v>373.75969576871961</v>
      </c>
      <c r="T37" s="7">
        <f t="shared" ref="T37:X40" si="23">C$11/SUM(L$37:L$40)*L37</f>
        <v>1917.7430545529091</v>
      </c>
      <c r="U37" s="7">
        <f t="shared" si="23"/>
        <v>2880.7525684148086</v>
      </c>
      <c r="V37" s="7">
        <f t="shared" si="23"/>
        <v>967.871434948824</v>
      </c>
      <c r="W37" s="7">
        <f t="shared" si="23"/>
        <v>1124.0896122173403</v>
      </c>
      <c r="X37" s="7">
        <f t="shared" si="23"/>
        <v>1959.555301204482</v>
      </c>
      <c r="Z37" s="2" t="s">
        <v>55</v>
      </c>
      <c r="AA37" s="5">
        <v>31.991340000000001</v>
      </c>
      <c r="AB37" s="5">
        <v>64.476529999999997</v>
      </c>
      <c r="AC37" s="5">
        <v>33.461379999999998</v>
      </c>
      <c r="AD37" s="5">
        <v>76.344080000000005</v>
      </c>
      <c r="AE37" s="5">
        <v>86.217110000000005</v>
      </c>
      <c r="AF37" s="2">
        <v>70.227099999999993</v>
      </c>
      <c r="AH37" s="2" t="s">
        <v>55</v>
      </c>
      <c r="AI37">
        <f t="shared" si="3"/>
        <v>668.38810162788479</v>
      </c>
      <c r="AJ37">
        <f t="shared" si="4"/>
        <v>2460.459452948437</v>
      </c>
      <c r="AK37">
        <f t="shared" si="5"/>
        <v>3687.5897947983312</v>
      </c>
      <c r="AL37">
        <f t="shared" si="6"/>
        <v>1496.8642099314418</v>
      </c>
      <c r="AM37">
        <f t="shared" si="7"/>
        <v>2097.9786164305228</v>
      </c>
      <c r="AN37">
        <f t="shared" si="8"/>
        <v>3924.0369916870127</v>
      </c>
    </row>
    <row r="38" spans="9:40" x14ac:dyDescent="0.4">
      <c r="I38" s="1"/>
      <c r="J38" s="2" t="s">
        <v>109</v>
      </c>
      <c r="K38" s="5">
        <v>17.878779999999999</v>
      </c>
      <c r="L38" s="5">
        <v>44.500599999999999</v>
      </c>
      <c r="M38" s="5">
        <v>22.78708</v>
      </c>
      <c r="N38" s="5">
        <v>38.709670000000003</v>
      </c>
      <c r="O38" s="5">
        <v>33.605029999999999</v>
      </c>
      <c r="P38" s="2">
        <v>44.197650000000003</v>
      </c>
      <c r="R38" s="2" t="s">
        <v>109</v>
      </c>
      <c r="S38" s="7">
        <f t="shared" ref="S38:S40" si="24">B$11/SUM(K$37:K$40)*K38</f>
        <v>496.34317053270161</v>
      </c>
      <c r="T38" s="7">
        <f t="shared" si="23"/>
        <v>2151.6428155030235</v>
      </c>
      <c r="U38" s="7">
        <f t="shared" si="23"/>
        <v>3142.2294913700962</v>
      </c>
      <c r="V38" s="7">
        <f t="shared" si="23"/>
        <v>960.90820430414647</v>
      </c>
      <c r="W38" s="7">
        <f t="shared" si="23"/>
        <v>1056.5275569671428</v>
      </c>
      <c r="X38" s="7">
        <f t="shared" si="23"/>
        <v>2024.7213535310527</v>
      </c>
      <c r="Z38" s="2" t="s">
        <v>56</v>
      </c>
      <c r="AA38" s="5">
        <v>28.354970000000002</v>
      </c>
      <c r="AB38" s="5">
        <v>67.027670000000001</v>
      </c>
      <c r="AC38" s="5">
        <v>30.65794</v>
      </c>
      <c r="AD38" s="5">
        <v>71.809250000000006</v>
      </c>
      <c r="AE38" s="5">
        <v>76.250460000000004</v>
      </c>
      <c r="AF38" s="2">
        <v>70.177180000000007</v>
      </c>
      <c r="AH38" s="2" t="s">
        <v>56</v>
      </c>
      <c r="AI38">
        <f t="shared" si="3"/>
        <v>592.41421490989819</v>
      </c>
      <c r="AJ38">
        <f t="shared" si="4"/>
        <v>2557.8123428883096</v>
      </c>
      <c r="AK38">
        <f t="shared" si="5"/>
        <v>3378.6384982788977</v>
      </c>
      <c r="AL38">
        <f t="shared" si="6"/>
        <v>1407.9506396176282</v>
      </c>
      <c r="AM38">
        <f t="shared" si="7"/>
        <v>1855.4534543432383</v>
      </c>
      <c r="AN38">
        <f t="shared" si="8"/>
        <v>3921.2476421819788</v>
      </c>
    </row>
    <row r="39" spans="9:40" x14ac:dyDescent="0.4">
      <c r="I39" s="1"/>
      <c r="J39" s="2" t="s">
        <v>110</v>
      </c>
      <c r="K39" s="5">
        <v>17.40259</v>
      </c>
      <c r="L39" s="5">
        <v>40.914560000000002</v>
      </c>
      <c r="M39" s="5">
        <v>21.495699999999999</v>
      </c>
      <c r="N39" s="5">
        <v>36.27863</v>
      </c>
      <c r="O39" s="5">
        <v>33.86439</v>
      </c>
      <c r="P39" s="2">
        <v>43.973039999999997</v>
      </c>
      <c r="R39" s="2" t="s">
        <v>110</v>
      </c>
      <c r="S39" s="7">
        <f t="shared" si="24"/>
        <v>483.12338403854676</v>
      </c>
      <c r="T39" s="7">
        <f t="shared" si="23"/>
        <v>1978.2546543971853</v>
      </c>
      <c r="U39" s="7">
        <f t="shared" si="23"/>
        <v>2964.1543575413866</v>
      </c>
      <c r="V39" s="7">
        <f t="shared" si="23"/>
        <v>900.56136381205351</v>
      </c>
      <c r="W39" s="7">
        <f t="shared" si="23"/>
        <v>1064.6817227921697</v>
      </c>
      <c r="X39" s="7">
        <f t="shared" si="23"/>
        <v>2014.4318321828223</v>
      </c>
      <c r="Z39" s="2" t="s">
        <v>57</v>
      </c>
      <c r="AA39" s="5">
        <v>35.80086</v>
      </c>
      <c r="AB39" s="5">
        <v>70.373040000000003</v>
      </c>
      <c r="AC39" s="5">
        <v>30.666119999999999</v>
      </c>
      <c r="AD39" s="5">
        <v>70.500230000000002</v>
      </c>
      <c r="AE39" s="5">
        <v>70.47054</v>
      </c>
      <c r="AF39" s="2">
        <v>69.603189999999998</v>
      </c>
      <c r="AH39" s="2" t="s">
        <v>57</v>
      </c>
      <c r="AI39">
        <f t="shared" si="3"/>
        <v>747.97957359853228</v>
      </c>
      <c r="AJ39">
        <f t="shared" si="4"/>
        <v>2685.4734816020414</v>
      </c>
      <c r="AK39">
        <f t="shared" si="5"/>
        <v>3379.5399699014506</v>
      </c>
      <c r="AL39">
        <f t="shared" si="6"/>
        <v>1382.28492738317</v>
      </c>
      <c r="AM39">
        <f t="shared" si="7"/>
        <v>1714.8067942466619</v>
      </c>
      <c r="AN39">
        <f t="shared" si="8"/>
        <v>3889.1751517493894</v>
      </c>
    </row>
    <row r="40" spans="9:40" x14ac:dyDescent="0.4">
      <c r="I40" s="1"/>
      <c r="J40" s="2" t="s">
        <v>111</v>
      </c>
      <c r="K40" s="5">
        <v>18.614709999999999</v>
      </c>
      <c r="L40" s="5">
        <v>38.724420000000002</v>
      </c>
      <c r="M40" s="5">
        <v>20.833670000000001</v>
      </c>
      <c r="N40" s="5">
        <v>34.268340000000002</v>
      </c>
      <c r="O40" s="5">
        <v>30.048159999999999</v>
      </c>
      <c r="P40" s="2">
        <v>44.122779999999999</v>
      </c>
      <c r="R40" s="2" t="s">
        <v>111</v>
      </c>
      <c r="S40" s="7">
        <f t="shared" si="24"/>
        <v>516.77374966003197</v>
      </c>
      <c r="T40" s="7">
        <f t="shared" si="23"/>
        <v>1872.3594755468825</v>
      </c>
      <c r="U40" s="7">
        <f t="shared" si="23"/>
        <v>2872.86358267371</v>
      </c>
      <c r="V40" s="7">
        <f t="shared" si="23"/>
        <v>850.65899693497659</v>
      </c>
      <c r="W40" s="7">
        <f t="shared" si="23"/>
        <v>944.70110802334727</v>
      </c>
      <c r="X40" s="7">
        <f t="shared" si="23"/>
        <v>2021.2915130816425</v>
      </c>
      <c r="Z40" s="2" t="s">
        <v>58</v>
      </c>
      <c r="AA40" s="5">
        <v>37.099559999999997</v>
      </c>
      <c r="AB40" s="5">
        <v>67.436819999999997</v>
      </c>
      <c r="AC40" s="5">
        <v>34.172449999999998</v>
      </c>
      <c r="AD40" s="5">
        <v>67.321169999999995</v>
      </c>
      <c r="AE40" s="5">
        <v>69.025559999999999</v>
      </c>
      <c r="AF40" s="2">
        <v>67.506860000000003</v>
      </c>
      <c r="AH40" s="2" t="s">
        <v>58</v>
      </c>
      <c r="AI40">
        <f t="shared" si="3"/>
        <v>775.11302995216215</v>
      </c>
      <c r="AJ40">
        <f t="shared" si="4"/>
        <v>2573.4257294209569</v>
      </c>
      <c r="AK40">
        <f t="shared" si="5"/>
        <v>3765.9528053910576</v>
      </c>
      <c r="AL40">
        <f t="shared" si="6"/>
        <v>1319.9536878787492</v>
      </c>
      <c r="AM40">
        <f t="shared" si="7"/>
        <v>1679.6451292225179</v>
      </c>
      <c r="AN40">
        <f t="shared" si="8"/>
        <v>3772.0397942195582</v>
      </c>
    </row>
    <row r="41" spans="9:40" x14ac:dyDescent="0.4">
      <c r="I41" s="1">
        <v>4</v>
      </c>
      <c r="J41" s="2" t="s">
        <v>112</v>
      </c>
      <c r="K41" s="5">
        <v>23.290040000000001</v>
      </c>
      <c r="L41" s="5">
        <v>39.133569999999999</v>
      </c>
      <c r="M41" s="5">
        <v>19.542290000000001</v>
      </c>
      <c r="N41" s="5">
        <v>36.372129999999999</v>
      </c>
      <c r="O41" s="5">
        <v>35.087060000000001</v>
      </c>
      <c r="P41" s="2">
        <v>43.773389999999999</v>
      </c>
      <c r="R41" s="2" t="s">
        <v>112</v>
      </c>
      <c r="S41" s="7">
        <f>B$12/SUM(K$41:K$45)*K41</f>
        <v>479.30920054440423</v>
      </c>
      <c r="T41" s="7">
        <f t="shared" ref="T41:X45" si="25">C$12/SUM(L$41:L$45)*L41</f>
        <v>1443.9788766341317</v>
      </c>
      <c r="U41" s="7">
        <f t="shared" si="25"/>
        <v>2098.9436439725409</v>
      </c>
      <c r="V41" s="7">
        <f t="shared" si="25"/>
        <v>675.96010095796919</v>
      </c>
      <c r="W41" s="7">
        <f t="shared" si="25"/>
        <v>826.0047287812165</v>
      </c>
      <c r="X41" s="7">
        <f t="shared" si="25"/>
        <v>1570.5938465385966</v>
      </c>
      <c r="Z41" s="2" t="s">
        <v>59</v>
      </c>
      <c r="AA41" s="5">
        <v>37.229430000000001</v>
      </c>
      <c r="AB41" s="5">
        <v>66.30565</v>
      </c>
      <c r="AC41" s="5">
        <v>30.257449999999999</v>
      </c>
      <c r="AD41" s="5">
        <v>69.378209999999996</v>
      </c>
      <c r="AE41" s="5">
        <v>66.580209999999994</v>
      </c>
      <c r="AF41" s="2">
        <v>71.275260000000003</v>
      </c>
      <c r="AH41" s="2" t="s">
        <v>59</v>
      </c>
      <c r="AI41">
        <f t="shared" si="3"/>
        <v>777.82637558752526</v>
      </c>
      <c r="AJ41">
        <f t="shared" si="4"/>
        <v>2530.2596669887557</v>
      </c>
      <c r="AK41">
        <f t="shared" si="5"/>
        <v>3334.502756210914</v>
      </c>
      <c r="AL41">
        <f t="shared" si="6"/>
        <v>1360.2856894484501</v>
      </c>
      <c r="AM41">
        <f t="shared" si="7"/>
        <v>1620.1407917460194</v>
      </c>
      <c r="AN41">
        <f t="shared" si="8"/>
        <v>3982.6043910699668</v>
      </c>
    </row>
    <row r="42" spans="9:40" x14ac:dyDescent="0.4">
      <c r="I42" s="1"/>
      <c r="J42" s="2" t="s">
        <v>113</v>
      </c>
      <c r="K42" s="5">
        <v>18.051939999999998</v>
      </c>
      <c r="L42" s="5">
        <v>39.181699999999999</v>
      </c>
      <c r="M42" s="5">
        <v>19.56681</v>
      </c>
      <c r="N42" s="5">
        <v>35.156610000000001</v>
      </c>
      <c r="O42" s="5">
        <v>32.530560000000001</v>
      </c>
      <c r="P42" s="2">
        <v>43.149479999999997</v>
      </c>
      <c r="R42" s="2" t="s">
        <v>113</v>
      </c>
      <c r="S42" s="7">
        <f t="shared" ref="S42:S53" si="26">B$12/SUM(K$41:K$45)*K42</f>
        <v>371.50906265835312</v>
      </c>
      <c r="T42" s="7">
        <f t="shared" si="25"/>
        <v>1445.7548123162685</v>
      </c>
      <c r="U42" s="7">
        <f t="shared" si="25"/>
        <v>2101.5772195744894</v>
      </c>
      <c r="V42" s="7">
        <f t="shared" si="25"/>
        <v>653.37019429271675</v>
      </c>
      <c r="W42" s="7">
        <f t="shared" si="25"/>
        <v>765.82068688288768</v>
      </c>
      <c r="X42" s="7">
        <f t="shared" si="25"/>
        <v>1548.2078899838518</v>
      </c>
      <c r="Z42" s="2" t="s">
        <v>60</v>
      </c>
      <c r="AA42" s="5">
        <v>37.575749999999999</v>
      </c>
      <c r="AB42" s="5">
        <v>62.430799999999998</v>
      </c>
      <c r="AC42" s="5">
        <v>35.60277</v>
      </c>
      <c r="AD42" s="5">
        <v>64.329120000000003</v>
      </c>
      <c r="AE42" s="5">
        <v>58.206740000000003</v>
      </c>
      <c r="AF42" s="2">
        <v>67.407030000000006</v>
      </c>
      <c r="AH42" s="2" t="s">
        <v>60</v>
      </c>
      <c r="AI42">
        <f t="shared" si="3"/>
        <v>785.06196394849314</v>
      </c>
      <c r="AJ42">
        <f t="shared" si="4"/>
        <v>2382.3932834960765</v>
      </c>
      <c r="AK42">
        <f t="shared" si="5"/>
        <v>3923.5802981990637</v>
      </c>
      <c r="AL42">
        <f t="shared" si="6"/>
        <v>1261.2891187422117</v>
      </c>
      <c r="AM42">
        <f t="shared" si="7"/>
        <v>1416.3835444279121</v>
      </c>
      <c r="AN42">
        <f t="shared" si="8"/>
        <v>3766.4616539734129</v>
      </c>
    </row>
    <row r="43" spans="9:40" x14ac:dyDescent="0.4">
      <c r="I43" s="1"/>
      <c r="J43" s="2" t="s">
        <v>114</v>
      </c>
      <c r="K43" s="5">
        <v>19.220770000000002</v>
      </c>
      <c r="L43" s="5">
        <v>37.882060000000003</v>
      </c>
      <c r="M43" s="5">
        <v>15.89701</v>
      </c>
      <c r="N43" s="5">
        <v>33.333329999999997</v>
      </c>
      <c r="O43" s="5">
        <v>35.642829999999996</v>
      </c>
      <c r="P43" s="2">
        <v>42.974789999999999</v>
      </c>
      <c r="R43" s="2" t="s">
        <v>114</v>
      </c>
      <c r="S43" s="7">
        <f t="shared" si="26"/>
        <v>395.5635929585294</v>
      </c>
      <c r="T43" s="7">
        <f t="shared" si="25"/>
        <v>1397.7997520641941</v>
      </c>
      <c r="U43" s="7">
        <f t="shared" si="25"/>
        <v>1707.4216019549356</v>
      </c>
      <c r="V43" s="7">
        <f t="shared" si="25"/>
        <v>619.48533429483791</v>
      </c>
      <c r="W43" s="7">
        <f t="shared" si="25"/>
        <v>839.08843109525287</v>
      </c>
      <c r="X43" s="7">
        <f t="shared" si="25"/>
        <v>1541.9399943730293</v>
      </c>
      <c r="Z43" s="2" t="s">
        <v>61</v>
      </c>
      <c r="AA43" s="5">
        <v>38.008650000000003</v>
      </c>
      <c r="AB43" s="5">
        <v>64.861609999999999</v>
      </c>
      <c r="AC43" s="5">
        <v>31.246420000000001</v>
      </c>
      <c r="AD43" s="5">
        <v>58.906030000000001</v>
      </c>
      <c r="AE43" s="5">
        <v>62.430520000000001</v>
      </c>
      <c r="AF43" s="2">
        <v>66.408779999999993</v>
      </c>
      <c r="AH43" s="2" t="s">
        <v>61</v>
      </c>
      <c r="AI43">
        <f t="shared" si="3"/>
        <v>794.10644939970325</v>
      </c>
      <c r="AJ43">
        <f t="shared" si="4"/>
        <v>2475.1543151896494</v>
      </c>
      <c r="AK43">
        <f t="shared" si="5"/>
        <v>3443.4915570123671</v>
      </c>
      <c r="AL43">
        <f t="shared" si="6"/>
        <v>1154.9595994364959</v>
      </c>
      <c r="AM43">
        <f t="shared" si="7"/>
        <v>1519.1636088548792</v>
      </c>
      <c r="AN43">
        <f t="shared" si="8"/>
        <v>3710.6830453315688</v>
      </c>
    </row>
    <row r="44" spans="9:40" x14ac:dyDescent="0.4">
      <c r="I44" s="1"/>
      <c r="J44" s="2" t="s">
        <v>115</v>
      </c>
      <c r="K44" s="5">
        <v>18.658000000000001</v>
      </c>
      <c r="L44" s="5">
        <v>35.547530000000002</v>
      </c>
      <c r="M44" s="5">
        <v>16.689820000000001</v>
      </c>
      <c r="N44" s="5">
        <v>32.02431</v>
      </c>
      <c r="O44" s="5">
        <v>30.344570000000001</v>
      </c>
      <c r="P44" s="2">
        <v>45.295729999999999</v>
      </c>
      <c r="R44" s="2" t="s">
        <v>115</v>
      </c>
      <c r="S44" s="7">
        <f t="shared" si="26"/>
        <v>383.98178207325941</v>
      </c>
      <c r="T44" s="7">
        <f t="shared" si="25"/>
        <v>1311.6585692672072</v>
      </c>
      <c r="U44" s="7">
        <f t="shared" si="25"/>
        <v>1792.5735217339313</v>
      </c>
      <c r="V44" s="7">
        <f t="shared" si="25"/>
        <v>595.15777109312273</v>
      </c>
      <c r="W44" s="7">
        <f t="shared" si="25"/>
        <v>714.35903472199266</v>
      </c>
      <c r="X44" s="7">
        <f t="shared" si="25"/>
        <v>1625.2155661801316</v>
      </c>
      <c r="Z44" s="2" t="s">
        <v>62</v>
      </c>
      <c r="AA44" s="5">
        <v>39.047609999999999</v>
      </c>
      <c r="AB44" s="5">
        <v>63.586039999999997</v>
      </c>
      <c r="AC44" s="5">
        <v>30.192070000000001</v>
      </c>
      <c r="AD44" s="5">
        <v>57.41</v>
      </c>
      <c r="AE44" s="5">
        <v>64.764719999999997</v>
      </c>
      <c r="AF44" s="2">
        <v>68.155720000000002</v>
      </c>
      <c r="AH44" s="2" t="s">
        <v>62</v>
      </c>
      <c r="AI44">
        <f t="shared" si="3"/>
        <v>815.81321448260712</v>
      </c>
      <c r="AJ44">
        <f t="shared" si="4"/>
        <v>2426.4778702197127</v>
      </c>
      <c r="AK44">
        <f t="shared" si="5"/>
        <v>3327.2975954917838</v>
      </c>
      <c r="AL44">
        <f t="shared" si="6"/>
        <v>1125.6272168341548</v>
      </c>
      <c r="AM44">
        <f t="shared" si="7"/>
        <v>1575.9632590226024</v>
      </c>
      <c r="AN44">
        <f t="shared" si="8"/>
        <v>3808.2957501457754</v>
      </c>
    </row>
    <row r="45" spans="9:40" x14ac:dyDescent="0.4">
      <c r="I45" s="1"/>
      <c r="J45" s="2" t="s">
        <v>116</v>
      </c>
      <c r="K45" s="5">
        <v>16.017309999999998</v>
      </c>
      <c r="L45" s="5">
        <v>34.440429999999999</v>
      </c>
      <c r="M45" s="5">
        <v>15.35758</v>
      </c>
      <c r="N45" s="5">
        <v>32.071060000000003</v>
      </c>
      <c r="O45" s="5">
        <v>35.457569999999997</v>
      </c>
      <c r="P45" s="2">
        <v>39.131509999999999</v>
      </c>
      <c r="R45" s="2" t="s">
        <v>116</v>
      </c>
      <c r="S45" s="7">
        <f t="shared" si="26"/>
        <v>329.63636176545378</v>
      </c>
      <c r="T45" s="7">
        <f t="shared" si="25"/>
        <v>1270.8079897181997</v>
      </c>
      <c r="U45" s="7">
        <f t="shared" si="25"/>
        <v>1649.4840127641035</v>
      </c>
      <c r="V45" s="7">
        <f t="shared" si="25"/>
        <v>596.0265993613541</v>
      </c>
      <c r="W45" s="7">
        <f t="shared" si="25"/>
        <v>834.7271185186504</v>
      </c>
      <c r="X45" s="7">
        <f t="shared" si="25"/>
        <v>1404.0427029243922</v>
      </c>
      <c r="Z45" s="2" t="s">
        <v>63</v>
      </c>
      <c r="AA45" s="5">
        <v>31.428570000000001</v>
      </c>
      <c r="AB45" s="5">
        <v>61.275570000000002</v>
      </c>
      <c r="AC45" s="5">
        <v>25.247240000000001</v>
      </c>
      <c r="AD45" s="5">
        <v>53.903689999999997</v>
      </c>
      <c r="AE45" s="5">
        <v>62.282319999999999</v>
      </c>
      <c r="AF45" s="2">
        <v>61.841769999999997</v>
      </c>
      <c r="AH45" s="2" t="s">
        <v>63</v>
      </c>
      <c r="AI45">
        <f t="shared" si="3"/>
        <v>656.6302705413118</v>
      </c>
      <c r="AJ45">
        <f t="shared" si="4"/>
        <v>2338.3090783778789</v>
      </c>
      <c r="AK45">
        <f t="shared" si="5"/>
        <v>2782.3557955716183</v>
      </c>
      <c r="AL45">
        <f t="shared" si="6"/>
        <v>1056.8796473051918</v>
      </c>
      <c r="AM45">
        <f t="shared" si="7"/>
        <v>1515.5573591098459</v>
      </c>
      <c r="AN45">
        <f t="shared" si="8"/>
        <v>3455.4950028037633</v>
      </c>
    </row>
    <row r="46" spans="9:40" x14ac:dyDescent="0.4">
      <c r="I46" s="1">
        <v>5</v>
      </c>
      <c r="J46" s="2" t="s">
        <v>117</v>
      </c>
      <c r="K46" s="5">
        <v>16.709949999999999</v>
      </c>
      <c r="L46" s="5">
        <v>36.606490000000001</v>
      </c>
      <c r="M46" s="5">
        <v>16.232119999999998</v>
      </c>
      <c r="N46" s="5">
        <v>32.211309999999997</v>
      </c>
      <c r="O46" s="5">
        <v>32.975169999999999</v>
      </c>
      <c r="P46" s="2">
        <v>40.079859999999996</v>
      </c>
      <c r="R46" s="2" t="s">
        <v>117</v>
      </c>
      <c r="S46" s="7">
        <f>B$13/SUM(K$46:K$49)*K46</f>
        <v>437.89917885425615</v>
      </c>
      <c r="T46" s="7">
        <f t="shared" ref="T46:X49" si="27">C$13/SUM(L$46:L$49)*L46</f>
        <v>1701.3950450038851</v>
      </c>
      <c r="U46" s="7">
        <f t="shared" si="27"/>
        <v>2239.3200683045666</v>
      </c>
      <c r="V46" s="7">
        <f t="shared" si="27"/>
        <v>797.89893606720864</v>
      </c>
      <c r="W46" s="7">
        <f t="shared" si="27"/>
        <v>1033.1875472656791</v>
      </c>
      <c r="X46" s="7">
        <f t="shared" si="27"/>
        <v>1797.3887502767971</v>
      </c>
      <c r="Z46" s="2" t="s">
        <v>64</v>
      </c>
      <c r="AA46" s="5">
        <v>29.783539999999999</v>
      </c>
      <c r="AB46" s="5">
        <v>55.980739999999997</v>
      </c>
      <c r="AC46" s="5">
        <v>23.653449999999999</v>
      </c>
      <c r="AD46" s="5">
        <v>49.929870000000001</v>
      </c>
      <c r="AE46" s="5">
        <v>64.357159999999993</v>
      </c>
      <c r="AF46" s="2">
        <v>55.877209999999998</v>
      </c>
      <c r="AH46" s="2" t="s">
        <v>64</v>
      </c>
      <c r="AI46">
        <f t="shared" si="3"/>
        <v>622.26101689889106</v>
      </c>
      <c r="AJ46">
        <f t="shared" si="4"/>
        <v>2136.2554857720893</v>
      </c>
      <c r="AK46">
        <f t="shared" si="5"/>
        <v>2606.713196878688</v>
      </c>
      <c r="AL46">
        <f t="shared" si="6"/>
        <v>978.96569595873814</v>
      </c>
      <c r="AM46">
        <f t="shared" si="7"/>
        <v>1566.0458288870709</v>
      </c>
      <c r="AN46">
        <f t="shared" si="8"/>
        <v>3122.2169081773768</v>
      </c>
    </row>
    <row r="47" spans="9:40" x14ac:dyDescent="0.4">
      <c r="I47" s="1"/>
      <c r="J47" s="2" t="s">
        <v>118</v>
      </c>
      <c r="K47" s="5">
        <v>19.480509999999999</v>
      </c>
      <c r="L47" s="5">
        <v>37.135980000000004</v>
      </c>
      <c r="M47" s="5">
        <v>13.84552</v>
      </c>
      <c r="N47" s="5">
        <v>31.22954</v>
      </c>
      <c r="O47" s="5">
        <v>34.271949999999997</v>
      </c>
      <c r="P47" s="2">
        <v>42.899920000000002</v>
      </c>
      <c r="R47" s="2" t="s">
        <v>118</v>
      </c>
      <c r="S47" s="7">
        <f t="shared" ref="S47:S49" si="28">B$13/SUM(K$46:K$49)*K47</f>
        <v>510.50418060270226</v>
      </c>
      <c r="T47" s="7">
        <f t="shared" si="27"/>
        <v>1726.0046610140273</v>
      </c>
      <c r="U47" s="7">
        <f t="shared" si="27"/>
        <v>1910.0740255809003</v>
      </c>
      <c r="V47" s="7">
        <f t="shared" si="27"/>
        <v>773.57973767190276</v>
      </c>
      <c r="W47" s="7">
        <f t="shared" si="27"/>
        <v>1073.8186326412263</v>
      </c>
      <c r="X47" s="7">
        <f t="shared" si="27"/>
        <v>1923.8548636590692</v>
      </c>
      <c r="Z47" s="2" t="s">
        <v>65</v>
      </c>
      <c r="AA47" s="5">
        <v>30.086580000000001</v>
      </c>
      <c r="AB47" s="5">
        <v>59.951860000000003</v>
      </c>
      <c r="AC47" s="5">
        <v>24.952999999999999</v>
      </c>
      <c r="AD47" s="5">
        <v>57.035989999999998</v>
      </c>
      <c r="AE47" s="5">
        <v>71.841419999999999</v>
      </c>
      <c r="AF47" s="2">
        <v>59.92013</v>
      </c>
      <c r="AH47" s="2" t="s">
        <v>65</v>
      </c>
      <c r="AI47">
        <f t="shared" si="3"/>
        <v>628.59236564256094</v>
      </c>
      <c r="AJ47">
        <f t="shared" si="4"/>
        <v>2287.7955848250717</v>
      </c>
      <c r="AK47">
        <f t="shared" si="5"/>
        <v>2749.9292662048833</v>
      </c>
      <c r="AL47">
        <f t="shared" si="6"/>
        <v>1118.2940721665334</v>
      </c>
      <c r="AM47">
        <f t="shared" si="7"/>
        <v>1748.1653343982891</v>
      </c>
      <c r="AN47">
        <f t="shared" si="8"/>
        <v>3348.1206922497831</v>
      </c>
    </row>
    <row r="48" spans="9:40" x14ac:dyDescent="0.4">
      <c r="I48" s="1"/>
      <c r="J48" s="2" t="s">
        <v>119</v>
      </c>
      <c r="K48" s="5">
        <v>17.748909999999999</v>
      </c>
      <c r="L48" s="5">
        <v>33.140790000000003</v>
      </c>
      <c r="M48" s="5">
        <v>13.183479999999999</v>
      </c>
      <c r="N48" s="5">
        <v>29.780270000000002</v>
      </c>
      <c r="O48" s="5">
        <v>33.197479999999999</v>
      </c>
      <c r="P48" s="2">
        <v>44.671819999999997</v>
      </c>
      <c r="R48" s="2" t="s">
        <v>119</v>
      </c>
      <c r="S48" s="7">
        <f t="shared" si="28"/>
        <v>465.12605450992345</v>
      </c>
      <c r="T48" s="7">
        <f t="shared" si="27"/>
        <v>1540.3163726845787</v>
      </c>
      <c r="U48" s="7">
        <f t="shared" si="27"/>
        <v>1818.7415651246963</v>
      </c>
      <c r="V48" s="7">
        <f t="shared" si="27"/>
        <v>737.68020452425606</v>
      </c>
      <c r="W48" s="7">
        <f t="shared" si="27"/>
        <v>1040.1530283726038</v>
      </c>
      <c r="X48" s="7">
        <f t="shared" si="27"/>
        <v>2003.3160475707757</v>
      </c>
      <c r="Z48" s="2" t="s">
        <v>66</v>
      </c>
      <c r="AA48" s="5">
        <v>33.982680000000002</v>
      </c>
      <c r="AB48" s="5">
        <v>65.776169999999993</v>
      </c>
      <c r="AC48" s="5">
        <v>21.185120000000001</v>
      </c>
      <c r="AD48" s="5">
        <v>57.41</v>
      </c>
      <c r="AE48" s="5">
        <v>68.025189999999995</v>
      </c>
      <c r="AF48" s="2">
        <v>63.139499999999998</v>
      </c>
      <c r="AH48" s="2" t="s">
        <v>66</v>
      </c>
      <c r="AI48">
        <f t="shared" si="3"/>
        <v>709.99273470345054</v>
      </c>
      <c r="AJ48">
        <f t="shared" si="4"/>
        <v>2510.0544222098088</v>
      </c>
      <c r="AK48">
        <f t="shared" si="5"/>
        <v>2334.6924817081076</v>
      </c>
      <c r="AL48">
        <f t="shared" si="6"/>
        <v>1125.6272168341548</v>
      </c>
      <c r="AM48">
        <f t="shared" si="7"/>
        <v>1655.3024567701634</v>
      </c>
      <c r="AN48">
        <f t="shared" si="8"/>
        <v>3528.0074734201203</v>
      </c>
    </row>
    <row r="49" spans="9:40" x14ac:dyDescent="0.4">
      <c r="I49" s="1"/>
      <c r="J49" s="2" t="s">
        <v>120</v>
      </c>
      <c r="K49" s="5">
        <v>18.181809999999999</v>
      </c>
      <c r="L49" s="5">
        <v>32.322499999999998</v>
      </c>
      <c r="M49" s="5">
        <v>11.973839999999999</v>
      </c>
      <c r="N49" s="5">
        <v>30.71528</v>
      </c>
      <c r="O49" s="5">
        <v>35.198219999999999</v>
      </c>
      <c r="P49" s="2">
        <v>40.928370000000001</v>
      </c>
      <c r="R49" s="2" t="s">
        <v>120</v>
      </c>
      <c r="S49" s="7">
        <f t="shared" si="28"/>
        <v>476.47058603311814</v>
      </c>
      <c r="T49" s="7">
        <f t="shared" si="27"/>
        <v>1502.2839212975096</v>
      </c>
      <c r="U49" s="7">
        <f t="shared" si="27"/>
        <v>1651.8643409898368</v>
      </c>
      <c r="V49" s="7">
        <f t="shared" si="27"/>
        <v>760.84112173663266</v>
      </c>
      <c r="W49" s="7">
        <f t="shared" si="27"/>
        <v>1102.8407917204906</v>
      </c>
      <c r="X49" s="7">
        <f t="shared" si="27"/>
        <v>1835.4403384933571</v>
      </c>
      <c r="Z49" s="2" t="s">
        <v>67</v>
      </c>
      <c r="AA49" s="5">
        <v>35.714280000000002</v>
      </c>
      <c r="AB49" s="5">
        <v>56.77496</v>
      </c>
      <c r="AC49" s="5">
        <v>19.534120000000001</v>
      </c>
      <c r="AD49" s="5">
        <v>55.352960000000003</v>
      </c>
      <c r="AE49" s="5">
        <v>65.209329999999994</v>
      </c>
      <c r="AF49" s="2">
        <v>63.78837</v>
      </c>
      <c r="AH49" s="2" t="s">
        <v>67</v>
      </c>
      <c r="AI49">
        <f t="shared" si="3"/>
        <v>746.1706765082904</v>
      </c>
      <c r="AJ49">
        <f t="shared" si="4"/>
        <v>2166.56335294051</v>
      </c>
      <c r="AK49">
        <f t="shared" si="5"/>
        <v>2152.7450918750505</v>
      </c>
      <c r="AL49">
        <f t="shared" si="6"/>
        <v>1085.2952152644539</v>
      </c>
      <c r="AM49">
        <f t="shared" si="7"/>
        <v>1586.7822515943919</v>
      </c>
      <c r="AN49">
        <f t="shared" si="8"/>
        <v>3564.2639881102609</v>
      </c>
    </row>
    <row r="50" spans="9:40" x14ac:dyDescent="0.4">
      <c r="I50" s="1">
        <v>6</v>
      </c>
      <c r="J50" s="2" t="s">
        <v>121</v>
      </c>
      <c r="K50" s="5">
        <v>18.26839</v>
      </c>
      <c r="L50" s="5">
        <v>30.541509999999999</v>
      </c>
      <c r="M50" s="5">
        <v>12.12913</v>
      </c>
      <c r="N50" s="5">
        <v>31.79055</v>
      </c>
      <c r="O50" s="5">
        <v>35.642829999999996</v>
      </c>
      <c r="P50" s="2">
        <v>39.730469999999997</v>
      </c>
      <c r="R50" s="2" t="s">
        <v>121</v>
      </c>
      <c r="S50" s="7">
        <f>B$14/SUM(K$50:K$53)*K50</f>
        <v>464.40191144296034</v>
      </c>
      <c r="T50" s="7">
        <f t="shared" ref="T50:X53" si="29">C$14/SUM(L$50:L$53)*L50</f>
        <v>1395.9987530144181</v>
      </c>
      <c r="U50" s="7">
        <f t="shared" si="29"/>
        <v>1634.4171907408104</v>
      </c>
      <c r="V50" s="7">
        <f t="shared" ref="V50:V53" si="30">E$14/SUM(N$50:N$53)*N50</f>
        <v>761.26708053013022</v>
      </c>
      <c r="W50" s="7">
        <f t="shared" ref="W50:W53" si="31">F$14/SUM(O$50:O$53)*O50</f>
        <v>1073.3389975135185</v>
      </c>
      <c r="X50" s="7">
        <f t="shared" ref="X50:X53" si="32">G$14/SUM(P$50:P$53)*P50</f>
        <v>1766.9340621341885</v>
      </c>
      <c r="Z50" s="2" t="s">
        <v>68</v>
      </c>
      <c r="AA50" s="5">
        <v>34.37229</v>
      </c>
      <c r="AB50" s="5">
        <v>57.424779999999998</v>
      </c>
      <c r="AC50" s="5">
        <v>21.863499999999998</v>
      </c>
      <c r="AD50" s="5">
        <v>53.295929999999998</v>
      </c>
      <c r="AE50" s="5">
        <v>63.912559999999999</v>
      </c>
      <c r="AF50" s="2">
        <v>64.362359999999995</v>
      </c>
      <c r="AH50" s="2" t="s">
        <v>68</v>
      </c>
      <c r="AI50">
        <f t="shared" si="3"/>
        <v>718.13277160953953</v>
      </c>
      <c r="AJ50">
        <f t="shared" si="4"/>
        <v>2191.360837571196</v>
      </c>
      <c r="AK50">
        <f t="shared" si="5"/>
        <v>2409.4529119412682</v>
      </c>
      <c r="AL50">
        <f t="shared" si="6"/>
        <v>1044.9634097628973</v>
      </c>
      <c r="AM50">
        <f t="shared" si="7"/>
        <v>1555.2270796519713</v>
      </c>
      <c r="AN50">
        <f t="shared" si="8"/>
        <v>3596.3364785428489</v>
      </c>
    </row>
    <row r="51" spans="9:40" x14ac:dyDescent="0.4">
      <c r="I51" s="1"/>
      <c r="J51" s="2" t="s">
        <v>122</v>
      </c>
      <c r="K51" s="5">
        <v>17.83549</v>
      </c>
      <c r="L51" s="5">
        <v>30.78219</v>
      </c>
      <c r="M51" s="5">
        <v>13.00367</v>
      </c>
      <c r="N51" s="5">
        <v>28.938749999999999</v>
      </c>
      <c r="O51" s="5">
        <v>33.382730000000002</v>
      </c>
      <c r="P51" s="2">
        <v>40.753680000000003</v>
      </c>
      <c r="R51" s="2" t="s">
        <v>122</v>
      </c>
      <c r="S51" s="7">
        <f t="shared" ref="S51:S53" si="33">B$14/SUM(K$50:K$53)*K51</f>
        <v>453.39713283555943</v>
      </c>
      <c r="T51" s="7">
        <f t="shared" si="29"/>
        <v>1406.9998128793532</v>
      </c>
      <c r="U51" s="7">
        <f t="shared" ref="U51:U53" si="34">D$14/SUM(M$50:M$53)*M51</f>
        <v>1752.2626759479497</v>
      </c>
      <c r="V51" s="7">
        <f t="shared" si="30"/>
        <v>692.97692951808972</v>
      </c>
      <c r="W51" s="7">
        <f t="shared" si="31"/>
        <v>1005.2789285380669</v>
      </c>
      <c r="X51" s="7">
        <f t="shared" si="32"/>
        <v>1812.4393028654542</v>
      </c>
      <c r="Z51" s="2" t="s">
        <v>69</v>
      </c>
      <c r="AA51" s="5">
        <v>33.290039999999998</v>
      </c>
      <c r="AB51" s="5">
        <v>51.456069999999997</v>
      </c>
      <c r="AC51" s="5">
        <v>19.109110000000001</v>
      </c>
      <c r="AD51" s="5">
        <v>49.415610000000001</v>
      </c>
      <c r="AE51" s="5">
        <v>66.580209999999994</v>
      </c>
      <c r="AF51" s="2">
        <v>61.44247</v>
      </c>
      <c r="AH51" s="2" t="s">
        <v>69</v>
      </c>
      <c r="AI51">
        <f t="shared" si="3"/>
        <v>695.52155798151455</v>
      </c>
      <c r="AJ51">
        <f t="shared" si="4"/>
        <v>1963.5916176487237</v>
      </c>
      <c r="AK51">
        <f t="shared" si="5"/>
        <v>2105.9071390265058</v>
      </c>
      <c r="AL51">
        <f t="shared" si="6"/>
        <v>968.88269556631303</v>
      </c>
      <c r="AM51">
        <f t="shared" si="7"/>
        <v>1620.1407917460194</v>
      </c>
      <c r="AN51">
        <f t="shared" si="8"/>
        <v>3433.1835593470264</v>
      </c>
    </row>
    <row r="52" spans="9:40" x14ac:dyDescent="0.4">
      <c r="I52" s="1"/>
      <c r="J52" s="2" t="s">
        <v>123</v>
      </c>
      <c r="K52" s="5">
        <v>19.480509999999999</v>
      </c>
      <c r="L52" s="5">
        <v>31.215399999999999</v>
      </c>
      <c r="M52" s="5">
        <v>10.44544</v>
      </c>
      <c r="N52" s="5">
        <v>32.02431</v>
      </c>
      <c r="O52" s="5">
        <v>32.789920000000002</v>
      </c>
      <c r="P52" s="2">
        <v>39.156469999999999</v>
      </c>
      <c r="R52" s="2" t="s">
        <v>123</v>
      </c>
      <c r="S52" s="7">
        <f t="shared" si="33"/>
        <v>495.21529154368301</v>
      </c>
      <c r="T52" s="7">
        <f t="shared" si="29"/>
        <v>1426.8010807208375</v>
      </c>
      <c r="U52" s="7">
        <f t="shared" si="34"/>
        <v>1407.5376140623187</v>
      </c>
      <c r="V52" s="7">
        <f t="shared" si="30"/>
        <v>766.86477521439087</v>
      </c>
      <c r="W52" s="7">
        <f t="shared" si="31"/>
        <v>987.4272009643588</v>
      </c>
      <c r="X52" s="7">
        <f t="shared" si="32"/>
        <v>1741.4065475675343</v>
      </c>
      <c r="Z52" s="2" t="s">
        <v>70</v>
      </c>
      <c r="AA52" s="5">
        <v>34.761899999999997</v>
      </c>
      <c r="AB52" s="5">
        <v>55.499389999999998</v>
      </c>
      <c r="AC52" s="5">
        <v>17.678789999999999</v>
      </c>
      <c r="AD52" s="5">
        <v>51.8934</v>
      </c>
      <c r="AE52" s="5">
        <v>68.803259999999995</v>
      </c>
      <c r="AF52" s="2">
        <v>66.209130000000002</v>
      </c>
      <c r="AH52" s="2" t="s">
        <v>70</v>
      </c>
      <c r="AI52">
        <f t="shared" si="3"/>
        <v>726.2728085156283</v>
      </c>
      <c r="AJ52">
        <f t="shared" si="4"/>
        <v>2117.8869079705742</v>
      </c>
      <c r="AK52">
        <f t="shared" si="5"/>
        <v>1948.2796462184999</v>
      </c>
      <c r="AL52">
        <f t="shared" si="6"/>
        <v>1017.4642643104255</v>
      </c>
      <c r="AM52">
        <f t="shared" si="7"/>
        <v>1674.235754604968</v>
      </c>
      <c r="AN52">
        <f t="shared" si="8"/>
        <v>3699.5273236032012</v>
      </c>
    </row>
    <row r="53" spans="9:40" x14ac:dyDescent="0.4">
      <c r="I53" s="1"/>
      <c r="J53" s="2" t="s">
        <v>124</v>
      </c>
      <c r="K53" s="5">
        <v>16.796530000000001</v>
      </c>
      <c r="L53" s="5">
        <v>31.070989999999998</v>
      </c>
      <c r="M53" s="5">
        <v>11.91663</v>
      </c>
      <c r="N53" s="5">
        <v>37.120139999999999</v>
      </c>
      <c r="O53" s="5">
        <v>31.67839</v>
      </c>
      <c r="P53" s="2">
        <v>38.432740000000003</v>
      </c>
      <c r="R53" s="2" t="s">
        <v>124</v>
      </c>
      <c r="S53" s="7">
        <f t="shared" si="33"/>
        <v>426.9856641777971</v>
      </c>
      <c r="T53" s="7">
        <f t="shared" si="29"/>
        <v>1420.2003533853911</v>
      </c>
      <c r="U53" s="7">
        <f t="shared" si="34"/>
        <v>1605.7825192489208</v>
      </c>
      <c r="V53" s="7">
        <f t="shared" si="30"/>
        <v>888.89121473738919</v>
      </c>
      <c r="W53" s="7">
        <f t="shared" si="31"/>
        <v>953.95487298405521</v>
      </c>
      <c r="X53" s="7">
        <f t="shared" si="32"/>
        <v>1709.2200874328223</v>
      </c>
      <c r="Z53" s="2" t="s">
        <v>71</v>
      </c>
      <c r="AA53" s="5">
        <v>35.108220000000003</v>
      </c>
      <c r="AB53" s="5">
        <v>52.178089999999997</v>
      </c>
      <c r="AC53" s="5">
        <v>15.46383</v>
      </c>
      <c r="AD53" s="5">
        <v>52.68817</v>
      </c>
      <c r="AE53" s="5">
        <v>71.619110000000006</v>
      </c>
      <c r="AF53" s="2">
        <v>65.360609999999994</v>
      </c>
      <c r="AH53" s="2" t="s">
        <v>71</v>
      </c>
      <c r="AI53">
        <f t="shared" si="3"/>
        <v>733.50839687659652</v>
      </c>
      <c r="AJ53">
        <f t="shared" si="4"/>
        <v>1991.1442935482773</v>
      </c>
      <c r="AK53">
        <f t="shared" si="5"/>
        <v>1704.1814084325356</v>
      </c>
      <c r="AL53">
        <f t="shared" si="6"/>
        <v>1033.047172220603</v>
      </c>
      <c r="AM53">
        <f t="shared" si="7"/>
        <v>1742.7557164440495</v>
      </c>
      <c r="AN53">
        <f t="shared" si="8"/>
        <v>3652.1150871846921</v>
      </c>
    </row>
    <row r="54" spans="9:40" x14ac:dyDescent="0.4">
      <c r="Z54" s="2" t="s">
        <v>72</v>
      </c>
      <c r="AA54" s="5">
        <v>31.861470000000001</v>
      </c>
      <c r="AB54" s="5">
        <v>51.407940000000004</v>
      </c>
      <c r="AC54" s="5">
        <v>17.098479999999999</v>
      </c>
      <c r="AD54" s="5">
        <v>50.350630000000002</v>
      </c>
      <c r="AE54" s="5">
        <v>76.880319999999998</v>
      </c>
      <c r="AF54" s="2">
        <v>63.389060000000001</v>
      </c>
      <c r="AH54" s="2" t="s">
        <v>72</v>
      </c>
      <c r="AI54">
        <f t="shared" si="3"/>
        <v>665.67475599252168</v>
      </c>
      <c r="AJ54">
        <f t="shared" si="4"/>
        <v>1961.7549506712919</v>
      </c>
      <c r="AK54">
        <f t="shared" si="5"/>
        <v>1884.3269570640352</v>
      </c>
      <c r="AL54">
        <f t="shared" si="6"/>
        <v>987.21545920129427</v>
      </c>
      <c r="AM54">
        <f t="shared" si="7"/>
        <v>1870.780259096319</v>
      </c>
      <c r="AN54">
        <f t="shared" si="8"/>
        <v>3541.9519858896006</v>
      </c>
    </row>
    <row r="55" spans="9:40" x14ac:dyDescent="0.4">
      <c r="Y55" s="1">
        <v>7</v>
      </c>
      <c r="Z55" s="2" t="s">
        <v>73</v>
      </c>
      <c r="AA55" s="5">
        <v>34.545450000000002</v>
      </c>
      <c r="AB55" s="5">
        <v>49.867620000000002</v>
      </c>
      <c r="AC55" s="5">
        <v>15.60277</v>
      </c>
      <c r="AD55" s="5">
        <v>46.797559999999997</v>
      </c>
      <c r="AE55" s="5">
        <v>72.471279999999993</v>
      </c>
      <c r="AF55" s="2">
        <v>63.563760000000002</v>
      </c>
      <c r="AH55" s="2" t="s">
        <v>73</v>
      </c>
      <c r="AI55">
        <f t="shared" si="3"/>
        <v>721.75056579002353</v>
      </c>
      <c r="AJ55">
        <f t="shared" si="4"/>
        <v>1902.9755017064435</v>
      </c>
      <c r="AK55">
        <f t="shared" si="5"/>
        <v>1719.4932014933502</v>
      </c>
      <c r="AL55">
        <f t="shared" si="6"/>
        <v>917.55107502925216</v>
      </c>
      <c r="AM55">
        <f t="shared" si="7"/>
        <v>1763.4921391513703</v>
      </c>
      <c r="AN55">
        <f t="shared" si="8"/>
        <v>3551.7135916293751</v>
      </c>
    </row>
    <row r="56" spans="9:40" x14ac:dyDescent="0.4">
      <c r="Y56" s="1"/>
      <c r="Z56" s="2" t="s">
        <v>74</v>
      </c>
      <c r="AA56" s="5">
        <v>37.792200000000001</v>
      </c>
      <c r="AB56" s="5">
        <v>51.744880000000002</v>
      </c>
      <c r="AC56" s="5">
        <v>16.689820000000001</v>
      </c>
      <c r="AD56" s="5">
        <v>48.807850000000002</v>
      </c>
      <c r="AE56" s="5">
        <v>72.508330000000001</v>
      </c>
      <c r="AF56" s="2">
        <v>69.727969999999999</v>
      </c>
      <c r="AH56" s="2" t="s">
        <v>74</v>
      </c>
      <c r="AI56">
        <f t="shared" si="3"/>
        <v>789.58420667409825</v>
      </c>
      <c r="AJ56">
        <f t="shared" si="4"/>
        <v>1974.6127643296334</v>
      </c>
      <c r="AK56">
        <f t="shared" si="5"/>
        <v>1839.2908454170474</v>
      </c>
      <c r="AL56">
        <f t="shared" si="6"/>
        <v>956.96645802401861</v>
      </c>
      <c r="AM56">
        <f t="shared" si="7"/>
        <v>1764.3937015876288</v>
      </c>
      <c r="AN56">
        <f t="shared" si="8"/>
        <v>3896.14740798413</v>
      </c>
    </row>
    <row r="57" spans="9:40" x14ac:dyDescent="0.4">
      <c r="Y57" s="1"/>
      <c r="Z57" s="2" t="s">
        <v>75</v>
      </c>
      <c r="AA57" s="5">
        <v>35.281379999999999</v>
      </c>
      <c r="AB57" s="5">
        <v>50.421169999999996</v>
      </c>
      <c r="AC57" s="5">
        <v>17.686959999999999</v>
      </c>
      <c r="AD57" s="5">
        <v>50.163620000000002</v>
      </c>
      <c r="AE57" s="5">
        <v>69.247860000000003</v>
      </c>
      <c r="AF57" s="2">
        <v>67.082599999999999</v>
      </c>
      <c r="AH57" s="2" t="s">
        <v>75</v>
      </c>
      <c r="AI57">
        <f t="shared" si="3"/>
        <v>737.12619105708029</v>
      </c>
      <c r="AJ57">
        <f t="shared" si="4"/>
        <v>1924.099270776826</v>
      </c>
      <c r="AK57">
        <f t="shared" si="5"/>
        <v>1949.1800157975042</v>
      </c>
      <c r="AL57">
        <f t="shared" si="6"/>
        <v>983.54878883341132</v>
      </c>
      <c r="AM57">
        <f t="shared" si="7"/>
        <v>1685.0545038400678</v>
      </c>
      <c r="AN57">
        <f t="shared" si="8"/>
        <v>3748.3336760103039</v>
      </c>
    </row>
    <row r="58" spans="9:40" x14ac:dyDescent="0.4">
      <c r="Y58" s="1"/>
      <c r="Z58" s="2" t="s">
        <v>76</v>
      </c>
      <c r="AA58" s="5">
        <v>35.108220000000003</v>
      </c>
      <c r="AB58" s="5">
        <v>52.178089999999997</v>
      </c>
      <c r="AC58" s="5">
        <v>18.054760000000002</v>
      </c>
      <c r="AD58" s="5">
        <v>49.041600000000003</v>
      </c>
      <c r="AE58" s="5">
        <v>71.211550000000003</v>
      </c>
      <c r="AF58" s="2">
        <v>59.745440000000002</v>
      </c>
      <c r="AH58" s="2" t="s">
        <v>76</v>
      </c>
      <c r="AI58">
        <f t="shared" si="3"/>
        <v>733.50839687659652</v>
      </c>
      <c r="AJ58">
        <f t="shared" si="4"/>
        <v>1991.1442935482773</v>
      </c>
      <c r="AK58">
        <f t="shared" si="5"/>
        <v>1989.7131775059224</v>
      </c>
      <c r="AL58">
        <f t="shared" si="6"/>
        <v>961.54955089869179</v>
      </c>
      <c r="AM58">
        <f t="shared" si="7"/>
        <v>1732.8382863085183</v>
      </c>
      <c r="AN58">
        <f t="shared" si="8"/>
        <v>3338.3596452739316</v>
      </c>
    </row>
    <row r="59" spans="9:40" x14ac:dyDescent="0.4">
      <c r="Y59" s="1"/>
      <c r="Z59" s="2" t="s">
        <v>77</v>
      </c>
      <c r="AA59" s="5">
        <v>35.324669999999998</v>
      </c>
      <c r="AB59" s="5">
        <v>53.6462</v>
      </c>
      <c r="AC59" s="5">
        <v>18.169180000000001</v>
      </c>
      <c r="AD59" s="5">
        <v>47.452080000000002</v>
      </c>
      <c r="AE59" s="5">
        <v>77.843639999999994</v>
      </c>
      <c r="AF59" s="2">
        <v>56.650860000000002</v>
      </c>
      <c r="AH59" s="2" t="s">
        <v>77</v>
      </c>
      <c r="AI59">
        <f t="shared" si="3"/>
        <v>738.0306396022014</v>
      </c>
      <c r="AJ59">
        <f t="shared" si="4"/>
        <v>2047.1681696388198</v>
      </c>
      <c r="AK59">
        <f t="shared" si="5"/>
        <v>2002.322759786176</v>
      </c>
      <c r="AL59">
        <f t="shared" si="6"/>
        <v>930.38412721462578</v>
      </c>
      <c r="AM59">
        <f t="shared" si="7"/>
        <v>1894.221369112415</v>
      </c>
      <c r="AN59">
        <f t="shared" si="8"/>
        <v>3165.4456791022576</v>
      </c>
    </row>
    <row r="60" spans="9:40" x14ac:dyDescent="0.4">
      <c r="Y60" s="1">
        <v>8</v>
      </c>
      <c r="Z60" s="2" t="s">
        <v>78</v>
      </c>
      <c r="AA60" s="5">
        <v>33.593069999999997</v>
      </c>
      <c r="AB60" s="5">
        <v>52.587240000000001</v>
      </c>
      <c r="AC60" s="5">
        <v>18.471589999999999</v>
      </c>
      <c r="AD60" s="5">
        <v>44.039270000000002</v>
      </c>
      <c r="AE60" s="5">
        <v>69.914779999999993</v>
      </c>
      <c r="AF60" s="2">
        <v>57.94858</v>
      </c>
      <c r="AH60" s="2" t="s">
        <v>78</v>
      </c>
      <c r="AI60">
        <f t="shared" si="3"/>
        <v>701.85269779736154</v>
      </c>
      <c r="AJ60">
        <f t="shared" si="4"/>
        <v>2006.7576800809252</v>
      </c>
      <c r="AK60">
        <f t="shared" si="5"/>
        <v>2035.6496587319143</v>
      </c>
      <c r="AL60">
        <f t="shared" si="6"/>
        <v>863.46979483553196</v>
      </c>
      <c r="AM60">
        <f t="shared" si="7"/>
        <v>1701.2831143660972</v>
      </c>
      <c r="AN60">
        <f t="shared" si="8"/>
        <v>3237.9575909546911</v>
      </c>
    </row>
    <row r="61" spans="9:40" x14ac:dyDescent="0.4">
      <c r="Y61" s="1"/>
      <c r="Z61" s="2" t="s">
        <v>79</v>
      </c>
      <c r="AA61" s="5">
        <v>30.909089999999999</v>
      </c>
      <c r="AB61" s="5">
        <v>52.948250000000002</v>
      </c>
      <c r="AC61" s="5">
        <v>18.863910000000001</v>
      </c>
      <c r="AD61" s="5">
        <v>43.010750000000002</v>
      </c>
      <c r="AE61" s="5">
        <v>70.841049999999996</v>
      </c>
      <c r="AF61" s="2">
        <v>60.169699999999999</v>
      </c>
      <c r="AH61" s="2" t="s">
        <v>79</v>
      </c>
      <c r="AI61">
        <f t="shared" si="3"/>
        <v>645.77688799985981</v>
      </c>
      <c r="AJ61">
        <f t="shared" si="4"/>
        <v>2020.5340180307016</v>
      </c>
      <c r="AK61">
        <f t="shared" si="5"/>
        <v>2078.8850312208938</v>
      </c>
      <c r="AL61">
        <f t="shared" si="6"/>
        <v>843.30379405068152</v>
      </c>
      <c r="AM61">
        <f t="shared" si="7"/>
        <v>1723.8226619459349</v>
      </c>
      <c r="AN61">
        <f t="shared" si="8"/>
        <v>3362.0657634831864</v>
      </c>
    </row>
    <row r="62" spans="9:40" x14ac:dyDescent="0.4">
      <c r="Y62" s="1"/>
      <c r="Z62" s="2" t="s">
        <v>80</v>
      </c>
      <c r="AA62" s="5">
        <v>33.636360000000003</v>
      </c>
      <c r="AB62" s="5">
        <v>53.501800000000003</v>
      </c>
      <c r="AC62" s="5">
        <v>17.883120000000002</v>
      </c>
      <c r="AD62" s="5">
        <v>47.498829999999998</v>
      </c>
      <c r="AE62" s="5">
        <v>70.47054</v>
      </c>
      <c r="AF62" s="2">
        <v>66.73321</v>
      </c>
      <c r="AH62" s="2" t="s">
        <v>80</v>
      </c>
      <c r="AI62">
        <f t="shared" si="3"/>
        <v>702.75714634248266</v>
      </c>
      <c r="AJ62">
        <f t="shared" si="4"/>
        <v>2041.6577871010848</v>
      </c>
      <c r="AK62">
        <f t="shared" si="5"/>
        <v>1970.7977020419939</v>
      </c>
      <c r="AL62">
        <f t="shared" si="6"/>
        <v>931.30074578956021</v>
      </c>
      <c r="AM62">
        <f t="shared" si="7"/>
        <v>1714.8067942466619</v>
      </c>
      <c r="AN62">
        <f t="shared" si="8"/>
        <v>3728.8110232946779</v>
      </c>
    </row>
    <row r="63" spans="9:40" x14ac:dyDescent="0.4">
      <c r="Y63" s="1"/>
      <c r="Z63" s="2" t="s">
        <v>81</v>
      </c>
      <c r="AA63" s="5">
        <v>32.33766</v>
      </c>
      <c r="AB63" s="5">
        <v>50.78219</v>
      </c>
      <c r="AC63" s="5">
        <v>17.93216</v>
      </c>
      <c r="AD63" s="5">
        <v>45.208039999999997</v>
      </c>
      <c r="AE63" s="5">
        <v>68.729150000000004</v>
      </c>
      <c r="AF63" s="2">
        <v>70.027450000000002</v>
      </c>
      <c r="AH63" s="2" t="s">
        <v>81</v>
      </c>
      <c r="AI63">
        <f t="shared" si="3"/>
        <v>675.62368998885268</v>
      </c>
      <c r="AJ63">
        <f t="shared" si="4"/>
        <v>1937.8759903320415</v>
      </c>
      <c r="AK63">
        <f t="shared" si="5"/>
        <v>1976.2021236031162</v>
      </c>
      <c r="AL63">
        <f t="shared" si="6"/>
        <v>886.38565134518615</v>
      </c>
      <c r="AM63">
        <f t="shared" si="7"/>
        <v>1672.4323863957613</v>
      </c>
      <c r="AN63">
        <f t="shared" si="8"/>
        <v>3912.8812699586442</v>
      </c>
    </row>
    <row r="64" spans="9:40" x14ac:dyDescent="0.4">
      <c r="Y64" s="1">
        <v>9</v>
      </c>
      <c r="Z64" s="2" t="s">
        <v>82</v>
      </c>
      <c r="AA64" s="5">
        <v>32.727269999999997</v>
      </c>
      <c r="AB64" s="5">
        <v>53.453670000000002</v>
      </c>
      <c r="AC64" s="5">
        <v>19.49325</v>
      </c>
      <c r="AD64" s="5">
        <v>45.722299999999997</v>
      </c>
      <c r="AE64" s="5">
        <v>68.840310000000002</v>
      </c>
      <c r="AF64" s="2">
        <v>69.653099999999995</v>
      </c>
      <c r="AH64" s="2" t="s">
        <v>82</v>
      </c>
      <c r="AI64">
        <f t="shared" si="3"/>
        <v>683.76372689494167</v>
      </c>
      <c r="AJ64">
        <f t="shared" si="4"/>
        <v>2039.8211201236527</v>
      </c>
      <c r="AK64">
        <f t="shared" si="5"/>
        <v>2148.2410398929323</v>
      </c>
      <c r="AL64">
        <f t="shared" si="6"/>
        <v>896.46865173761148</v>
      </c>
      <c r="AM64">
        <f t="shared" si="7"/>
        <v>1675.1373170412264</v>
      </c>
      <c r="AN64">
        <f t="shared" si="8"/>
        <v>3891.9639424905008</v>
      </c>
    </row>
    <row r="65" spans="25:40" x14ac:dyDescent="0.4">
      <c r="Y65" s="1"/>
      <c r="Z65" s="2" t="s">
        <v>83</v>
      </c>
      <c r="AA65" s="5">
        <v>31.385280000000002</v>
      </c>
      <c r="AB65" s="5">
        <v>53.790610000000001</v>
      </c>
      <c r="AC65" s="5">
        <v>21.430319999999998</v>
      </c>
      <c r="AD65" s="5">
        <v>42.8705</v>
      </c>
      <c r="AE65" s="5">
        <v>67.617630000000005</v>
      </c>
      <c r="AF65" s="2">
        <v>65.909649999999999</v>
      </c>
      <c r="AH65" s="2" t="s">
        <v>83</v>
      </c>
      <c r="AI65">
        <f t="shared" si="3"/>
        <v>655.7258219961908</v>
      </c>
      <c r="AJ65">
        <f t="shared" si="4"/>
        <v>2052.6789337819937</v>
      </c>
      <c r="AK65">
        <f t="shared" si="5"/>
        <v>2361.7145895137191</v>
      </c>
      <c r="AL65">
        <f t="shared" si="6"/>
        <v>840.55393832587754</v>
      </c>
      <c r="AM65">
        <f t="shared" si="7"/>
        <v>1645.3850266346321</v>
      </c>
      <c r="AN65">
        <f t="shared" si="8"/>
        <v>3682.7934616286866</v>
      </c>
    </row>
    <row r="66" spans="25:40" x14ac:dyDescent="0.4">
      <c r="Y66" s="1"/>
      <c r="Z66" s="2" t="s">
        <v>84</v>
      </c>
      <c r="AA66" s="5">
        <v>28.57142</v>
      </c>
      <c r="AB66" s="5">
        <v>50.878450000000001</v>
      </c>
      <c r="AC66" s="5">
        <v>20.580300000000001</v>
      </c>
      <c r="AD66" s="5">
        <v>47.498829999999998</v>
      </c>
      <c r="AE66" s="5">
        <v>61.207850000000001</v>
      </c>
      <c r="AF66" s="2">
        <v>65.285740000000004</v>
      </c>
      <c r="AH66" s="2" t="s">
        <v>84</v>
      </c>
      <c r="AI66">
        <f t="shared" si="3"/>
        <v>596.93645763550319</v>
      </c>
      <c r="AJ66">
        <f t="shared" si="4"/>
        <v>1941.5493242869059</v>
      </c>
      <c r="AK66">
        <f t="shared" si="5"/>
        <v>2268.0386838166296</v>
      </c>
      <c r="AL66">
        <f t="shared" si="6"/>
        <v>931.30074578956021</v>
      </c>
      <c r="AM66">
        <f t="shared" si="7"/>
        <v>1489.411561784975</v>
      </c>
      <c r="AN66">
        <f t="shared" si="8"/>
        <v>3647.9316216910634</v>
      </c>
    </row>
    <row r="67" spans="25:40" x14ac:dyDescent="0.4">
      <c r="Y67" s="1"/>
      <c r="Z67" s="2" t="s">
        <v>85</v>
      </c>
      <c r="AA67" s="5">
        <v>31.558440000000001</v>
      </c>
      <c r="AB67" s="5">
        <v>47.460889999999999</v>
      </c>
      <c r="AC67" s="5">
        <v>21.160599999999999</v>
      </c>
      <c r="AD67" s="5">
        <v>47.078069999999997</v>
      </c>
      <c r="AE67" s="5">
        <v>56.020740000000004</v>
      </c>
      <c r="AF67" s="2">
        <v>60.64387</v>
      </c>
      <c r="AH67" s="2" t="s">
        <v>85</v>
      </c>
      <c r="AI67">
        <f t="shared" si="3"/>
        <v>659.34361617667469</v>
      </c>
      <c r="AJ67">
        <f t="shared" si="4"/>
        <v>1811.1333759097449</v>
      </c>
      <c r="AK67">
        <f t="shared" si="5"/>
        <v>2331.9902709275461</v>
      </c>
      <c r="AL67">
        <f t="shared" si="6"/>
        <v>923.05098254700431</v>
      </c>
      <c r="AM67">
        <f t="shared" si="7"/>
        <v>1363.1901440052218</v>
      </c>
      <c r="AN67">
        <f t="shared" si="8"/>
        <v>3388.5606724335521</v>
      </c>
    </row>
    <row r="68" spans="25:40" x14ac:dyDescent="0.4">
      <c r="Y68" s="1">
        <v>10</v>
      </c>
      <c r="Z68" s="2" t="s">
        <v>86</v>
      </c>
      <c r="AA68" s="5">
        <v>27.056270000000001</v>
      </c>
      <c r="AB68" s="5">
        <v>41.949449999999999</v>
      </c>
      <c r="AC68" s="5">
        <v>18.921119999999998</v>
      </c>
      <c r="AD68" s="5">
        <v>43.525010000000002</v>
      </c>
      <c r="AE68" s="5">
        <v>52.241570000000003</v>
      </c>
      <c r="AF68" s="2">
        <v>56.201639999999998</v>
      </c>
      <c r="AH68" s="2" t="s">
        <v>86</v>
      </c>
      <c r="AI68">
        <f t="shared" ref="AI68:AI106" si="35">$S$2*AA68/$K$2</f>
        <v>565.28075855626832</v>
      </c>
      <c r="AJ68">
        <f t="shared" ref="AJ68:AJ106" si="36">$T$2*AB68/$L$2</f>
        <v>1600.8138278919137</v>
      </c>
      <c r="AK68">
        <f t="shared" ref="AK68:AK106" si="37">$U$2*AC68/$M$2</f>
        <v>2085.1898223610201</v>
      </c>
      <c r="AL68">
        <f t="shared" ref="AL68:AL106" si="38">$V$2*AD68/$N$2</f>
        <v>853.38679444310685</v>
      </c>
      <c r="AM68">
        <f t="shared" ref="AM68:AM106" si="39">$W$2*AE68/$O$2</f>
        <v>1271.2290721500444</v>
      </c>
      <c r="AN68">
        <f t="shared" ref="AN68:AN106" si="40">$X$2*AF68/$P$2</f>
        <v>3140.3448861404854</v>
      </c>
    </row>
    <row r="69" spans="25:40" x14ac:dyDescent="0.4">
      <c r="Y69" s="1"/>
      <c r="Z69" s="2" t="s">
        <v>87</v>
      </c>
      <c r="AA69" s="5">
        <v>24.025970000000001</v>
      </c>
      <c r="AB69" s="5">
        <v>40.89049</v>
      </c>
      <c r="AC69" s="5">
        <v>17.981200000000001</v>
      </c>
      <c r="AD69" s="5">
        <v>40.345950000000002</v>
      </c>
      <c r="AE69" s="5">
        <v>58.688400000000001</v>
      </c>
      <c r="AF69" s="2">
        <v>45.320680000000003</v>
      </c>
      <c r="AH69" s="2" t="s">
        <v>87</v>
      </c>
      <c r="AI69">
        <f t="shared" si="35"/>
        <v>501.9693603977986</v>
      </c>
      <c r="AJ69">
        <f t="shared" si="36"/>
        <v>1560.4033383340191</v>
      </c>
      <c r="AK69">
        <f t="shared" si="37"/>
        <v>1981.6065451642389</v>
      </c>
      <c r="AL69">
        <f t="shared" si="38"/>
        <v>791.0555549386861</v>
      </c>
      <c r="AM69">
        <f t="shared" si="39"/>
        <v>1428.1040994359598</v>
      </c>
      <c r="AN69">
        <f t="shared" si="40"/>
        <v>2532.3560962706674</v>
      </c>
    </row>
    <row r="70" spans="25:40" x14ac:dyDescent="0.4">
      <c r="Y70" s="1"/>
      <c r="Z70" s="2" t="s">
        <v>88</v>
      </c>
      <c r="AA70" s="5">
        <v>24.329000000000001</v>
      </c>
      <c r="AB70" s="5">
        <v>49.79542</v>
      </c>
      <c r="AC70" s="5">
        <v>22.885159999999999</v>
      </c>
      <c r="AD70" s="5">
        <v>43.431510000000003</v>
      </c>
      <c r="AE70" s="5">
        <v>50.203769999999999</v>
      </c>
      <c r="AF70" s="2">
        <v>56.675809999999998</v>
      </c>
      <c r="AH70" s="2" t="s">
        <v>88</v>
      </c>
      <c r="AI70">
        <f t="shared" si="35"/>
        <v>508.30050021364559</v>
      </c>
      <c r="AJ70">
        <f t="shared" si="36"/>
        <v>1900.2203104375758</v>
      </c>
      <c r="AK70">
        <f t="shared" si="37"/>
        <v>2522.0442931022862</v>
      </c>
      <c r="AL70">
        <f t="shared" si="38"/>
        <v>851.55355729323753</v>
      </c>
      <c r="AM70">
        <f t="shared" si="39"/>
        <v>1221.6419214723874</v>
      </c>
      <c r="AN70">
        <f t="shared" si="40"/>
        <v>3166.8397950908511</v>
      </c>
    </row>
    <row r="71" spans="25:40" x14ac:dyDescent="0.4">
      <c r="Y71" s="1"/>
      <c r="Z71" s="2" t="s">
        <v>89</v>
      </c>
      <c r="AA71" s="5">
        <v>25.021640000000001</v>
      </c>
      <c r="AB71" s="5">
        <v>45.703969999999998</v>
      </c>
      <c r="AC71" s="5">
        <v>24.77319</v>
      </c>
      <c r="AD71" s="5">
        <v>39.551189999999998</v>
      </c>
      <c r="AE71" s="5">
        <v>45.276020000000003</v>
      </c>
      <c r="AF71" s="2">
        <v>54.97878</v>
      </c>
      <c r="AH71" s="2" t="s">
        <v>89</v>
      </c>
      <c r="AI71">
        <f t="shared" si="35"/>
        <v>522.77167693558147</v>
      </c>
      <c r="AJ71">
        <f t="shared" si="36"/>
        <v>1744.0883531382933</v>
      </c>
      <c r="AK71">
        <f t="shared" si="37"/>
        <v>2730.1134211619506</v>
      </c>
      <c r="AL71">
        <f t="shared" si="38"/>
        <v>775.47284309665304</v>
      </c>
      <c r="AM71">
        <f t="shared" si="39"/>
        <v>1101.7316840831324</v>
      </c>
      <c r="AN71">
        <f t="shared" si="40"/>
        <v>3072.0158810177568</v>
      </c>
    </row>
    <row r="72" spans="25:40" x14ac:dyDescent="0.4">
      <c r="Y72" s="1"/>
      <c r="Z72" s="2" t="s">
        <v>90</v>
      </c>
      <c r="AA72" s="5">
        <v>31.515149999999998</v>
      </c>
      <c r="AB72" s="5">
        <v>40.52948</v>
      </c>
      <c r="AC72" s="5">
        <v>26.620349999999998</v>
      </c>
      <c r="AD72" s="5">
        <v>40.673209999999997</v>
      </c>
      <c r="AE72" s="5">
        <v>40.051870000000001</v>
      </c>
      <c r="AF72" s="2">
        <v>54.479660000000003</v>
      </c>
      <c r="AH72" s="2" t="s">
        <v>90</v>
      </c>
      <c r="AI72">
        <f t="shared" si="35"/>
        <v>658.43916763155369</v>
      </c>
      <c r="AJ72">
        <f t="shared" si="36"/>
        <v>1546.6270003842424</v>
      </c>
      <c r="AK72">
        <f t="shared" si="37"/>
        <v>2933.6784972394967</v>
      </c>
      <c r="AL72">
        <f t="shared" si="38"/>
        <v>797.4720810313728</v>
      </c>
      <c r="AM72">
        <f t="shared" si="39"/>
        <v>974.60894720381111</v>
      </c>
      <c r="AN72">
        <f t="shared" si="40"/>
        <v>3044.1268560787971</v>
      </c>
    </row>
    <row r="73" spans="25:40" x14ac:dyDescent="0.4">
      <c r="Y73" s="1">
        <v>11</v>
      </c>
      <c r="Z73" s="2" t="s">
        <v>91</v>
      </c>
      <c r="AA73" s="5">
        <v>47.099559999999997</v>
      </c>
      <c r="AB73" s="5">
        <v>46.811070000000001</v>
      </c>
      <c r="AC73" s="5">
        <v>31.916630000000001</v>
      </c>
      <c r="AD73" s="5">
        <v>43.992510000000003</v>
      </c>
      <c r="AE73" s="5">
        <v>39.977760000000004</v>
      </c>
      <c r="AF73" s="2">
        <v>51.110550000000003</v>
      </c>
      <c r="AH73" s="2" t="s">
        <v>91</v>
      </c>
      <c r="AI73">
        <f t="shared" si="35"/>
        <v>984.04085280293521</v>
      </c>
      <c r="AJ73">
        <f t="shared" si="36"/>
        <v>1786.3358912790593</v>
      </c>
      <c r="AK73">
        <f t="shared" si="37"/>
        <v>3517.3516176665239</v>
      </c>
      <c r="AL73">
        <f t="shared" si="38"/>
        <v>862.55298019245311</v>
      </c>
      <c r="AM73">
        <f t="shared" si="39"/>
        <v>972.8055789946045</v>
      </c>
      <c r="AN73">
        <f t="shared" si="40"/>
        <v>2855.8731439212024</v>
      </c>
    </row>
    <row r="74" spans="25:40" x14ac:dyDescent="0.4">
      <c r="Y74" s="1"/>
      <c r="Z74" s="2" t="s">
        <v>92</v>
      </c>
      <c r="AA74" s="5">
        <v>43.333329999999997</v>
      </c>
      <c r="AB74" s="5">
        <v>47.557160000000003</v>
      </c>
      <c r="AC74" s="5">
        <v>36.134039999999999</v>
      </c>
      <c r="AD74" s="5">
        <v>43.478259999999999</v>
      </c>
      <c r="AE74" s="5">
        <v>42.608370000000001</v>
      </c>
      <c r="AF74" s="2">
        <v>60.194650000000003</v>
      </c>
      <c r="AH74" s="2" t="s">
        <v>92</v>
      </c>
      <c r="AI74">
        <f t="shared" si="35"/>
        <v>905.35382937740849</v>
      </c>
      <c r="AJ74">
        <f t="shared" si="36"/>
        <v>1814.8070914700479</v>
      </c>
      <c r="AK74">
        <f t="shared" si="37"/>
        <v>3982.1285657924059</v>
      </c>
      <c r="AL74">
        <f t="shared" si="38"/>
        <v>852.47017586817219</v>
      </c>
      <c r="AM74">
        <f t="shared" si="39"/>
        <v>1036.8179719890843</v>
      </c>
      <c r="AN74">
        <f t="shared" si="40"/>
        <v>3363.4598794717804</v>
      </c>
    </row>
    <row r="75" spans="25:40" x14ac:dyDescent="0.4">
      <c r="Y75" s="1"/>
      <c r="Z75" s="2" t="s">
        <v>93</v>
      </c>
      <c r="AA75" s="5">
        <v>41.515149999999998</v>
      </c>
      <c r="AB75" s="5">
        <v>46.61853</v>
      </c>
      <c r="AC75" s="5">
        <v>43.351039999999998</v>
      </c>
      <c r="AD75" s="5">
        <v>44.647030000000001</v>
      </c>
      <c r="AE75" s="5">
        <v>41.79325</v>
      </c>
      <c r="AF75" s="2">
        <v>53.431489999999997</v>
      </c>
      <c r="AH75" s="2" t="s">
        <v>93</v>
      </c>
      <c r="AI75">
        <f t="shared" si="35"/>
        <v>867.36699048232663</v>
      </c>
      <c r="AJ75">
        <f t="shared" si="36"/>
        <v>1778.9884601584529</v>
      </c>
      <c r="AK75">
        <f t="shared" si="37"/>
        <v>4777.4733946386623</v>
      </c>
      <c r="AL75">
        <f t="shared" si="38"/>
        <v>875.38603237782638</v>
      </c>
      <c r="AM75">
        <f t="shared" si="39"/>
        <v>1016.9831117180214</v>
      </c>
      <c r="AN75">
        <f t="shared" si="40"/>
        <v>2985.5588979319195</v>
      </c>
    </row>
    <row r="76" spans="25:40" x14ac:dyDescent="0.4">
      <c r="Y76" s="1"/>
      <c r="Z76" s="2" t="s">
        <v>94</v>
      </c>
      <c r="AA76" s="5">
        <v>37.056269999999998</v>
      </c>
      <c r="AB76" s="5">
        <v>48.447650000000003</v>
      </c>
      <c r="AC76" s="5">
        <v>39.297089999999997</v>
      </c>
      <c r="AD76" s="5">
        <v>41.140709999999999</v>
      </c>
      <c r="AE76" s="5">
        <v>45.461280000000002</v>
      </c>
      <c r="AF76" s="2">
        <v>57.898670000000003</v>
      </c>
      <c r="AH76" s="2" t="s">
        <v>94</v>
      </c>
      <c r="AI76">
        <f t="shared" si="35"/>
        <v>774.20858140704115</v>
      </c>
      <c r="AJ76">
        <f t="shared" si="36"/>
        <v>1848.788674198772</v>
      </c>
      <c r="AK76">
        <f t="shared" si="37"/>
        <v>4330.7104503541559</v>
      </c>
      <c r="AL76">
        <f t="shared" si="38"/>
        <v>806.63826678071905</v>
      </c>
      <c r="AM76">
        <f t="shared" si="39"/>
        <v>1106.239739601114</v>
      </c>
      <c r="AN76">
        <f t="shared" si="40"/>
        <v>3235.1688002135802</v>
      </c>
    </row>
    <row r="77" spans="25:40" x14ac:dyDescent="0.4">
      <c r="Y77" s="1">
        <v>12</v>
      </c>
      <c r="Z77" s="2" t="s">
        <v>95</v>
      </c>
      <c r="AA77" s="5">
        <v>28.528130000000001</v>
      </c>
      <c r="AB77" s="5">
        <v>41.78098</v>
      </c>
      <c r="AC77" s="5">
        <v>35.447479999999999</v>
      </c>
      <c r="AD77" s="5">
        <v>40.439450000000001</v>
      </c>
      <c r="AE77" s="5">
        <v>44.757309999999997</v>
      </c>
      <c r="AF77" s="2">
        <v>51.260289999999998</v>
      </c>
      <c r="AH77" s="2" t="s">
        <v>95</v>
      </c>
      <c r="AI77">
        <f t="shared" si="35"/>
        <v>596.03200909038219</v>
      </c>
      <c r="AJ77">
        <f t="shared" si="36"/>
        <v>1594.3849210627432</v>
      </c>
      <c r="AK77">
        <f t="shared" si="37"/>
        <v>3906.4666639366924</v>
      </c>
      <c r="AL77">
        <f t="shared" si="38"/>
        <v>792.88879208855542</v>
      </c>
      <c r="AM77">
        <f t="shared" si="39"/>
        <v>1089.109566638826</v>
      </c>
      <c r="AN77">
        <f t="shared" si="40"/>
        <v>2864.2400749084591</v>
      </c>
    </row>
    <row r="78" spans="25:40" x14ac:dyDescent="0.4">
      <c r="Y78" s="1"/>
      <c r="Z78" s="2" t="s">
        <v>96</v>
      </c>
      <c r="AA78" s="5">
        <v>26.96969</v>
      </c>
      <c r="AB78" s="5">
        <v>43.104689999999998</v>
      </c>
      <c r="AC78" s="5">
        <v>32.897419999999997</v>
      </c>
      <c r="AD78" s="5">
        <v>41.514719999999997</v>
      </c>
      <c r="AE78" s="5">
        <v>45.090769999999999</v>
      </c>
      <c r="AF78" s="2">
        <v>51.335160000000002</v>
      </c>
      <c r="AH78" s="2" t="s">
        <v>96</v>
      </c>
      <c r="AI78">
        <f t="shared" si="35"/>
        <v>563.47186146602633</v>
      </c>
      <c r="AJ78">
        <f t="shared" si="36"/>
        <v>1644.8984146155503</v>
      </c>
      <c r="AK78">
        <f t="shared" si="37"/>
        <v>3625.4389468454233</v>
      </c>
      <c r="AL78">
        <f t="shared" si="38"/>
        <v>813.97141144834029</v>
      </c>
      <c r="AM78">
        <f t="shared" si="39"/>
        <v>1097.2238719018408</v>
      </c>
      <c r="AN78">
        <f t="shared" si="40"/>
        <v>2868.4235404020878</v>
      </c>
    </row>
    <row r="79" spans="25:40" x14ac:dyDescent="0.4">
      <c r="Y79" s="1"/>
      <c r="Z79" s="2" t="s">
        <v>97</v>
      </c>
      <c r="AA79" s="5">
        <v>25.80086</v>
      </c>
      <c r="AB79" s="5">
        <v>42.839950000000002</v>
      </c>
      <c r="AC79" s="5">
        <v>30.21659</v>
      </c>
      <c r="AD79" s="5">
        <v>42.122480000000003</v>
      </c>
      <c r="AE79" s="5">
        <v>42.978879999999997</v>
      </c>
      <c r="AF79" s="2">
        <v>49.613169999999997</v>
      </c>
      <c r="AH79" s="2" t="s">
        <v>97</v>
      </c>
      <c r="AI79">
        <f t="shared" si="35"/>
        <v>539.05175074775934</v>
      </c>
      <c r="AJ79">
        <f t="shared" si="36"/>
        <v>1634.7957922260766</v>
      </c>
      <c r="AK79">
        <f t="shared" si="37"/>
        <v>3329.9998062723448</v>
      </c>
      <c r="AL79">
        <f t="shared" si="38"/>
        <v>825.88764899063494</v>
      </c>
      <c r="AM79">
        <f t="shared" si="39"/>
        <v>1045.8338396883573</v>
      </c>
      <c r="AN79">
        <f t="shared" si="40"/>
        <v>2772.2049515764761</v>
      </c>
    </row>
    <row r="80" spans="25:40" x14ac:dyDescent="0.4">
      <c r="Y80" s="1"/>
      <c r="Z80" s="2" t="s">
        <v>98</v>
      </c>
      <c r="AA80" s="5">
        <v>25.411249999999999</v>
      </c>
      <c r="AB80" s="5">
        <v>37.97833</v>
      </c>
      <c r="AC80" s="5">
        <v>28.14058</v>
      </c>
      <c r="AD80" s="5">
        <v>43.151000000000003</v>
      </c>
      <c r="AE80" s="5">
        <v>43.238230000000001</v>
      </c>
      <c r="AF80" s="2">
        <v>47.441969999999998</v>
      </c>
      <c r="AH80" s="2" t="s">
        <v>98</v>
      </c>
      <c r="AI80">
        <f t="shared" si="35"/>
        <v>530.91171384167046</v>
      </c>
      <c r="AJ80">
        <f t="shared" si="36"/>
        <v>1449.2737288389314</v>
      </c>
      <c r="AK80">
        <f t="shared" si="37"/>
        <v>3101.2144635907434</v>
      </c>
      <c r="AL80">
        <f t="shared" si="38"/>
        <v>846.0536497754855</v>
      </c>
      <c r="AM80">
        <f t="shared" si="39"/>
        <v>1052.1447767421655</v>
      </c>
      <c r="AN80">
        <f t="shared" si="40"/>
        <v>2650.8861285530156</v>
      </c>
    </row>
    <row r="81" spans="25:40" x14ac:dyDescent="0.4">
      <c r="Y81" s="1">
        <v>1</v>
      </c>
      <c r="Z81" s="2" t="s">
        <v>99</v>
      </c>
      <c r="AA81" s="5">
        <v>24.112549999999999</v>
      </c>
      <c r="AB81" s="5">
        <v>40.024059999999999</v>
      </c>
      <c r="AC81" s="5">
        <v>29.758880000000001</v>
      </c>
      <c r="AD81" s="5">
        <v>46.189799999999998</v>
      </c>
      <c r="AE81" s="5">
        <v>46.350499999999997</v>
      </c>
      <c r="AF81" s="2">
        <v>48.115789999999997</v>
      </c>
      <c r="AH81" s="2" t="s">
        <v>99</v>
      </c>
      <c r="AI81">
        <f t="shared" si="35"/>
        <v>503.77825748804048</v>
      </c>
      <c r="AJ81">
        <f t="shared" si="36"/>
        <v>1527.3398982912918</v>
      </c>
      <c r="AK81">
        <f t="shared" si="37"/>
        <v>3279.5581710206866</v>
      </c>
      <c r="AL81">
        <f t="shared" si="38"/>
        <v>905.63483748695774</v>
      </c>
      <c r="AM81">
        <f t="shared" si="39"/>
        <v>1127.8777247446931</v>
      </c>
      <c r="AN81">
        <f t="shared" si="40"/>
        <v>2688.5367592317502</v>
      </c>
    </row>
    <row r="82" spans="25:40" x14ac:dyDescent="0.4">
      <c r="Y82" s="1"/>
      <c r="Z82" s="2" t="s">
        <v>100</v>
      </c>
      <c r="AA82" s="5">
        <v>23.549779999999998</v>
      </c>
      <c r="AB82" s="5">
        <v>43.008420000000001</v>
      </c>
      <c r="AC82" s="5">
        <v>34.720059999999997</v>
      </c>
      <c r="AD82" s="5">
        <v>43.94576</v>
      </c>
      <c r="AE82" s="5">
        <v>46.054090000000002</v>
      </c>
      <c r="AF82" s="2">
        <v>47.916139999999999</v>
      </c>
      <c r="AH82" s="2" t="s">
        <v>100</v>
      </c>
      <c r="AI82">
        <f t="shared" si="35"/>
        <v>492.0204264014676</v>
      </c>
      <c r="AJ82">
        <f t="shared" si="36"/>
        <v>1641.2246990552471</v>
      </c>
      <c r="AK82">
        <f t="shared" si="37"/>
        <v>3826.3018121424084</v>
      </c>
      <c r="AL82">
        <f t="shared" si="38"/>
        <v>861.63636161751822</v>
      </c>
      <c r="AM82">
        <f t="shared" si="39"/>
        <v>1120.664981917937</v>
      </c>
      <c r="AN82">
        <f t="shared" si="40"/>
        <v>2677.3810375033818</v>
      </c>
    </row>
    <row r="83" spans="25:40" x14ac:dyDescent="0.4">
      <c r="Y83" s="1"/>
      <c r="Z83" s="2" t="s">
        <v>101</v>
      </c>
      <c r="AA83" s="5">
        <v>24.848479999999999</v>
      </c>
      <c r="AB83" s="5">
        <v>46.835129999999999</v>
      </c>
      <c r="AC83" s="5">
        <v>33.870040000000003</v>
      </c>
      <c r="AD83" s="5">
        <v>47.685830000000003</v>
      </c>
      <c r="AE83" s="5">
        <v>47.499070000000003</v>
      </c>
      <c r="AF83" s="2">
        <v>48.04092</v>
      </c>
      <c r="AH83" s="2" t="s">
        <v>101</v>
      </c>
      <c r="AI83">
        <f t="shared" si="35"/>
        <v>519.15388275509747</v>
      </c>
      <c r="AJ83">
        <f t="shared" si="36"/>
        <v>1787.2540339650557</v>
      </c>
      <c r="AK83">
        <f t="shared" si="37"/>
        <v>3732.6259064453197</v>
      </c>
      <c r="AL83">
        <f t="shared" si="38"/>
        <v>934.96722008929885</v>
      </c>
      <c r="AM83">
        <f t="shared" si="39"/>
        <v>1155.826646942081</v>
      </c>
      <c r="AN83">
        <f t="shared" si="40"/>
        <v>2684.3532937381219</v>
      </c>
    </row>
    <row r="84" spans="25:40" x14ac:dyDescent="0.4">
      <c r="Y84" s="1"/>
      <c r="Z84" s="2" t="s">
        <v>102</v>
      </c>
      <c r="AA84" s="4">
        <v>26.017309999999998</v>
      </c>
      <c r="AB84" s="5">
        <v>40.962690000000002</v>
      </c>
      <c r="AC84" s="5">
        <v>32.73395</v>
      </c>
      <c r="AD84" s="5">
        <v>47.63908</v>
      </c>
      <c r="AE84" s="5">
        <v>47.758420000000001</v>
      </c>
      <c r="AF84" s="2">
        <v>45.195900000000002</v>
      </c>
      <c r="AH84" s="2" t="s">
        <v>102</v>
      </c>
      <c r="AI84">
        <f t="shared" si="35"/>
        <v>543.57399347336434</v>
      </c>
      <c r="AJ84">
        <f t="shared" si="36"/>
        <v>1563.1585296028868</v>
      </c>
      <c r="AK84">
        <f t="shared" si="37"/>
        <v>3607.4238409604991</v>
      </c>
      <c r="AL84">
        <f t="shared" si="38"/>
        <v>934.05060151436419</v>
      </c>
      <c r="AM84">
        <f t="shared" si="39"/>
        <v>1162.1375839958891</v>
      </c>
      <c r="AN84">
        <f t="shared" si="40"/>
        <v>2525.3838400359273</v>
      </c>
    </row>
    <row r="85" spans="25:40" x14ac:dyDescent="0.4">
      <c r="Y85" s="1"/>
      <c r="Z85" s="2" t="s">
        <v>103</v>
      </c>
      <c r="AA85" s="5">
        <v>24.675319999999999</v>
      </c>
      <c r="AB85" s="5">
        <v>43.417560000000002</v>
      </c>
      <c r="AC85" s="5">
        <v>36.003259999999997</v>
      </c>
      <c r="AD85" s="5">
        <v>48.761099999999999</v>
      </c>
      <c r="AE85" s="5">
        <v>50.314929999999997</v>
      </c>
      <c r="AF85" s="2">
        <v>45.719990000000003</v>
      </c>
      <c r="AH85" s="2" t="s">
        <v>103</v>
      </c>
      <c r="AI85">
        <f t="shared" si="35"/>
        <v>515.53608857461347</v>
      </c>
      <c r="AJ85">
        <f t="shared" si="36"/>
        <v>1656.8377039824561</v>
      </c>
      <c r="AK85">
        <f t="shared" si="37"/>
        <v>3967.716040267047</v>
      </c>
      <c r="AL85">
        <f t="shared" si="38"/>
        <v>956.04983944908383</v>
      </c>
      <c r="AM85">
        <f t="shared" si="39"/>
        <v>1224.3468521178522</v>
      </c>
      <c r="AN85">
        <f t="shared" si="40"/>
        <v>2554.6680984913278</v>
      </c>
    </row>
    <row r="86" spans="25:40" x14ac:dyDescent="0.4">
      <c r="Y86" s="1">
        <v>2</v>
      </c>
      <c r="Z86" s="2" t="s">
        <v>104</v>
      </c>
      <c r="AA86" s="5">
        <v>24.63203</v>
      </c>
      <c r="AB86" s="5">
        <v>45.246690000000001</v>
      </c>
      <c r="AC86" s="5">
        <v>32.333460000000002</v>
      </c>
      <c r="AD86" s="5">
        <v>46.283299999999997</v>
      </c>
      <c r="AE86" s="5">
        <v>47.536119999999997</v>
      </c>
      <c r="AF86" s="2">
        <v>48.190660000000001</v>
      </c>
      <c r="AH86" s="2" t="s">
        <v>104</v>
      </c>
      <c r="AI86">
        <f t="shared" si="35"/>
        <v>514.63164002949247</v>
      </c>
      <c r="AJ86">
        <f t="shared" si="36"/>
        <v>1726.6382996282136</v>
      </c>
      <c r="AK86">
        <f t="shared" si="37"/>
        <v>3563.2880988925158</v>
      </c>
      <c r="AL86">
        <f t="shared" si="38"/>
        <v>907.46807463682683</v>
      </c>
      <c r="AM86">
        <f t="shared" si="39"/>
        <v>1156.728209378339</v>
      </c>
      <c r="AN86">
        <f t="shared" si="40"/>
        <v>2692.720224725379</v>
      </c>
    </row>
    <row r="87" spans="25:40" x14ac:dyDescent="0.4">
      <c r="Y87" s="1"/>
      <c r="Z87" s="2" t="s">
        <v>105</v>
      </c>
      <c r="AA87" s="5">
        <v>22.987010000000001</v>
      </c>
      <c r="AB87" s="5">
        <v>42.406730000000003</v>
      </c>
      <c r="AC87" s="5">
        <v>31.630559999999999</v>
      </c>
      <c r="AD87" s="5">
        <v>42.823740000000001</v>
      </c>
      <c r="AE87" s="5">
        <v>47.09151</v>
      </c>
      <c r="AF87" s="2">
        <v>43.324179999999998</v>
      </c>
      <c r="AH87" s="2" t="s">
        <v>105</v>
      </c>
      <c r="AI87">
        <f t="shared" si="35"/>
        <v>480.26259531489472</v>
      </c>
      <c r="AJ87">
        <f t="shared" si="36"/>
        <v>1618.2638814019936</v>
      </c>
      <c r="AK87">
        <f t="shared" si="37"/>
        <v>3485.8254578787933</v>
      </c>
      <c r="AL87">
        <f t="shared" si="38"/>
        <v>839.63712368279869</v>
      </c>
      <c r="AM87">
        <f t="shared" si="39"/>
        <v>1145.9092168065495</v>
      </c>
      <c r="AN87">
        <f t="shared" si="40"/>
        <v>2420.7988789869814</v>
      </c>
    </row>
    <row r="88" spans="25:40" x14ac:dyDescent="0.4">
      <c r="Y88" s="1"/>
      <c r="Z88" s="2" t="s">
        <v>106</v>
      </c>
      <c r="AA88" s="5">
        <v>18.87445</v>
      </c>
      <c r="AB88" s="5">
        <v>40.36101</v>
      </c>
      <c r="AC88" s="5">
        <v>26.07274</v>
      </c>
      <c r="AD88" s="5">
        <v>45.675539999999998</v>
      </c>
      <c r="AE88" s="5">
        <v>50.574280000000002</v>
      </c>
      <c r="AF88" s="2">
        <v>42.251060000000003</v>
      </c>
      <c r="AH88" s="2" t="s">
        <v>106</v>
      </c>
      <c r="AI88">
        <f t="shared" si="35"/>
        <v>394.33977460057713</v>
      </c>
      <c r="AJ88">
        <f t="shared" si="36"/>
        <v>1540.1980935550719</v>
      </c>
      <c r="AK88">
        <f t="shared" si="37"/>
        <v>2873.3294904881463</v>
      </c>
      <c r="AL88">
        <f t="shared" si="38"/>
        <v>895.5518370945324</v>
      </c>
      <c r="AM88">
        <f t="shared" si="39"/>
        <v>1230.6577891716604</v>
      </c>
      <c r="AN88">
        <f t="shared" si="40"/>
        <v>2360.8368048515099</v>
      </c>
    </row>
    <row r="89" spans="25:40" x14ac:dyDescent="0.4">
      <c r="Y89" s="1"/>
      <c r="Z89" s="2" t="s">
        <v>107</v>
      </c>
      <c r="AA89" s="5">
        <v>16.709949999999999</v>
      </c>
      <c r="AB89" s="5">
        <v>41.371839999999999</v>
      </c>
      <c r="AC89" s="5">
        <v>22.909680000000002</v>
      </c>
      <c r="AD89" s="5">
        <v>39.878439999999998</v>
      </c>
      <c r="AE89" s="5">
        <v>38.792140000000003</v>
      </c>
      <c r="AF89" s="2">
        <v>39.880200000000002</v>
      </c>
      <c r="AH89" s="2" t="s">
        <v>107</v>
      </c>
      <c r="AI89">
        <f t="shared" si="35"/>
        <v>349.11734734452733</v>
      </c>
      <c r="AJ89">
        <f t="shared" si="36"/>
        <v>1578.7719161355342</v>
      </c>
      <c r="AK89">
        <f t="shared" si="37"/>
        <v>2524.7465038828477</v>
      </c>
      <c r="AL89">
        <f t="shared" si="38"/>
        <v>781.88917312119543</v>
      </c>
      <c r="AM89">
        <f t="shared" si="39"/>
        <v>943.95509436095847</v>
      </c>
      <c r="AN89">
        <f t="shared" si="40"/>
        <v>2228.361701335758</v>
      </c>
    </row>
    <row r="90" spans="25:40" x14ac:dyDescent="0.4">
      <c r="Y90" s="1">
        <v>3</v>
      </c>
      <c r="Z90" s="2" t="s">
        <v>108</v>
      </c>
      <c r="AA90" s="5">
        <v>13.463200000000001</v>
      </c>
      <c r="AB90" s="5">
        <v>39.663049999999998</v>
      </c>
      <c r="AC90" s="5">
        <v>20.890879999999999</v>
      </c>
      <c r="AD90" s="5">
        <v>38.990180000000002</v>
      </c>
      <c r="AE90" s="5">
        <v>35.753979999999999</v>
      </c>
      <c r="AF90" s="2">
        <v>42.77514</v>
      </c>
      <c r="AH90" s="2" t="s">
        <v>108</v>
      </c>
      <c r="AI90">
        <f t="shared" si="35"/>
        <v>281.28370646045266</v>
      </c>
      <c r="AJ90">
        <f t="shared" si="36"/>
        <v>1513.5635603415149</v>
      </c>
      <c r="AK90">
        <f t="shared" si="37"/>
        <v>2302.2659523413727</v>
      </c>
      <c r="AL90">
        <f t="shared" si="38"/>
        <v>764.47322412929327</v>
      </c>
      <c r="AM90">
        <f t="shared" si="39"/>
        <v>870.02551456763729</v>
      </c>
      <c r="AN90">
        <f t="shared" si="40"/>
        <v>2390.1205045429874</v>
      </c>
    </row>
    <row r="91" spans="25:40" x14ac:dyDescent="0.4">
      <c r="Y91" s="1"/>
      <c r="Z91" s="2" t="s">
        <v>109</v>
      </c>
      <c r="AA91" s="5">
        <v>17.878779999999999</v>
      </c>
      <c r="AB91" s="5">
        <v>44.500599999999999</v>
      </c>
      <c r="AC91" s="5">
        <v>22.78708</v>
      </c>
      <c r="AD91" s="5">
        <v>38.709670000000003</v>
      </c>
      <c r="AE91" s="5">
        <v>33.605029999999999</v>
      </c>
      <c r="AF91" s="2">
        <v>44.197650000000003</v>
      </c>
      <c r="AH91" s="2" t="s">
        <v>109</v>
      </c>
      <c r="AI91">
        <f t="shared" si="35"/>
        <v>373.53745806279426</v>
      </c>
      <c r="AJ91">
        <f t="shared" si="36"/>
        <v>1698.167099437225</v>
      </c>
      <c r="AK91">
        <f t="shared" si="37"/>
        <v>2511.2354499800413</v>
      </c>
      <c r="AL91">
        <f t="shared" si="38"/>
        <v>758.97331661154124</v>
      </c>
      <c r="AM91">
        <f t="shared" si="39"/>
        <v>817.73367658120549</v>
      </c>
      <c r="AN91">
        <f t="shared" si="40"/>
        <v>2469.6052313940845</v>
      </c>
    </row>
    <row r="92" spans="25:40" x14ac:dyDescent="0.4">
      <c r="Y92" s="1"/>
      <c r="Z92" s="2" t="s">
        <v>110</v>
      </c>
      <c r="AA92" s="5">
        <v>17.40259</v>
      </c>
      <c r="AB92" s="5">
        <v>40.914560000000002</v>
      </c>
      <c r="AC92" s="5">
        <v>21.495699999999999</v>
      </c>
      <c r="AD92" s="5">
        <v>36.27863</v>
      </c>
      <c r="AE92" s="5">
        <v>33.86439</v>
      </c>
      <c r="AF92" s="2">
        <v>43.973039999999997</v>
      </c>
      <c r="AH92" s="2" t="s">
        <v>110</v>
      </c>
      <c r="AI92">
        <f t="shared" si="35"/>
        <v>363.58852406646326</v>
      </c>
      <c r="AJ92">
        <f t="shared" si="36"/>
        <v>1561.3218626254545</v>
      </c>
      <c r="AK92">
        <f t="shared" si="37"/>
        <v>2368.9197502328502</v>
      </c>
      <c r="AL92">
        <f t="shared" si="38"/>
        <v>711.30836644236319</v>
      </c>
      <c r="AM92">
        <f t="shared" si="39"/>
        <v>824.04485697170355</v>
      </c>
      <c r="AN92">
        <f t="shared" si="40"/>
        <v>2457.0548349131986</v>
      </c>
    </row>
    <row r="93" spans="25:40" x14ac:dyDescent="0.4">
      <c r="Y93" s="1"/>
      <c r="Z93" s="2" t="s">
        <v>111</v>
      </c>
      <c r="AA93" s="5">
        <v>18.614709999999999</v>
      </c>
      <c r="AB93" s="5">
        <v>38.724420000000002</v>
      </c>
      <c r="AC93" s="5">
        <v>20.833670000000001</v>
      </c>
      <c r="AD93" s="5">
        <v>34.268340000000002</v>
      </c>
      <c r="AE93" s="5">
        <v>30.048159999999999</v>
      </c>
      <c r="AF93" s="2">
        <v>44.122779999999999</v>
      </c>
      <c r="AH93" s="2" t="s">
        <v>111</v>
      </c>
      <c r="AI93">
        <f t="shared" si="35"/>
        <v>388.91308332985119</v>
      </c>
      <c r="AJ93">
        <f t="shared" si="36"/>
        <v>1477.7449290299201</v>
      </c>
      <c r="AK93">
        <f t="shared" si="37"/>
        <v>2295.9611612012459</v>
      </c>
      <c r="AL93">
        <f t="shared" si="38"/>
        <v>671.89298344759698</v>
      </c>
      <c r="AM93">
        <f t="shared" si="39"/>
        <v>731.18197934357784</v>
      </c>
      <c r="AN93">
        <f t="shared" si="40"/>
        <v>2465.4217659004557</v>
      </c>
    </row>
    <row r="94" spans="25:40" x14ac:dyDescent="0.4">
      <c r="Y94" s="1">
        <v>4</v>
      </c>
      <c r="Z94" s="2" t="s">
        <v>112</v>
      </c>
      <c r="AA94" s="5">
        <v>23.290040000000001</v>
      </c>
      <c r="AB94" s="5">
        <v>39.133569999999999</v>
      </c>
      <c r="AC94" s="5">
        <v>19.542290000000001</v>
      </c>
      <c r="AD94" s="5">
        <v>36.372129999999999</v>
      </c>
      <c r="AE94" s="5">
        <v>35.087060000000001</v>
      </c>
      <c r="AF94" s="2">
        <v>43.773389999999999</v>
      </c>
      <c r="AH94" s="2" t="s">
        <v>112</v>
      </c>
      <c r="AI94">
        <f t="shared" si="35"/>
        <v>486.59373513074161</v>
      </c>
      <c r="AJ94">
        <f t="shared" si="36"/>
        <v>1493.3583155625677</v>
      </c>
      <c r="AK94">
        <f t="shared" si="37"/>
        <v>2153.6454614540548</v>
      </c>
      <c r="AL94">
        <f t="shared" si="38"/>
        <v>713.14160359223251</v>
      </c>
      <c r="AM94">
        <f t="shared" si="39"/>
        <v>853.79690404160772</v>
      </c>
      <c r="AN94">
        <f t="shared" si="40"/>
        <v>2445.8991131848297</v>
      </c>
    </row>
    <row r="95" spans="25:40" x14ac:dyDescent="0.4">
      <c r="Y95" s="1"/>
      <c r="Z95" s="2" t="s">
        <v>113</v>
      </c>
      <c r="AA95" s="5">
        <v>18.051939999999998</v>
      </c>
      <c r="AB95" s="5">
        <v>39.181699999999999</v>
      </c>
      <c r="AC95" s="5">
        <v>19.56681</v>
      </c>
      <c r="AD95" s="5">
        <v>35.156610000000001</v>
      </c>
      <c r="AE95" s="5">
        <v>32.530560000000001</v>
      </c>
      <c r="AF95" s="2">
        <v>43.149479999999997</v>
      </c>
      <c r="AH95" s="2" t="s">
        <v>113</v>
      </c>
      <c r="AI95">
        <f t="shared" si="35"/>
        <v>377.1552522432782</v>
      </c>
      <c r="AJ95">
        <f t="shared" si="36"/>
        <v>1495.1949825399997</v>
      </c>
      <c r="AK95">
        <f t="shared" si="37"/>
        <v>2156.3476722346159</v>
      </c>
      <c r="AL95">
        <f t="shared" si="38"/>
        <v>689.30912850764355</v>
      </c>
      <c r="AM95">
        <f t="shared" si="39"/>
        <v>791.58787925633453</v>
      </c>
      <c r="AN95">
        <f t="shared" si="40"/>
        <v>2411.0372732472069</v>
      </c>
    </row>
    <row r="96" spans="25:40" x14ac:dyDescent="0.4">
      <c r="Y96" s="1"/>
      <c r="Z96" s="2" t="s">
        <v>114</v>
      </c>
      <c r="AA96" s="5">
        <v>19.220770000000002</v>
      </c>
      <c r="AB96" s="5">
        <v>37.882060000000003</v>
      </c>
      <c r="AC96" s="5">
        <v>15.89701</v>
      </c>
      <c r="AD96" s="5">
        <v>33.333329999999997</v>
      </c>
      <c r="AE96" s="5">
        <v>35.642829999999996</v>
      </c>
      <c r="AF96" s="2">
        <v>42.974789999999999</v>
      </c>
      <c r="AH96" s="2" t="s">
        <v>114</v>
      </c>
      <c r="AI96">
        <f t="shared" si="35"/>
        <v>401.57536296154518</v>
      </c>
      <c r="AJ96">
        <f t="shared" si="36"/>
        <v>1445.6000132786282</v>
      </c>
      <c r="AK96">
        <f t="shared" si="37"/>
        <v>1751.9197308600847</v>
      </c>
      <c r="AL96">
        <f t="shared" si="38"/>
        <v>653.56041588076005</v>
      </c>
      <c r="AM96">
        <f t="shared" si="39"/>
        <v>867.32082725886221</v>
      </c>
      <c r="AN96">
        <f t="shared" si="40"/>
        <v>2401.2762262713554</v>
      </c>
    </row>
    <row r="97" spans="17:40" x14ac:dyDescent="0.4">
      <c r="Y97" s="1"/>
      <c r="Z97" s="2" t="s">
        <v>115</v>
      </c>
      <c r="AA97" s="5">
        <v>18.658000000000001</v>
      </c>
      <c r="AB97" s="5">
        <v>35.547530000000002</v>
      </c>
      <c r="AC97" s="5">
        <v>16.689820000000001</v>
      </c>
      <c r="AD97" s="5">
        <v>32.02431</v>
      </c>
      <c r="AE97" s="5">
        <v>30.344570000000001</v>
      </c>
      <c r="AF97" s="2">
        <v>45.295729999999999</v>
      </c>
      <c r="AH97" s="2" t="s">
        <v>115</v>
      </c>
      <c r="AI97">
        <f t="shared" si="35"/>
        <v>389.81753187497225</v>
      </c>
      <c r="AJ97">
        <f t="shared" si="36"/>
        <v>1356.5130787507976</v>
      </c>
      <c r="AK97">
        <f t="shared" si="37"/>
        <v>1839.2908454170474</v>
      </c>
      <c r="AL97">
        <f t="shared" si="38"/>
        <v>627.89470364630188</v>
      </c>
      <c r="AM97">
        <f t="shared" si="39"/>
        <v>738.39472217033426</v>
      </c>
      <c r="AN97">
        <f t="shared" si="40"/>
        <v>2530.961980282073</v>
      </c>
    </row>
    <row r="98" spans="17:40" x14ac:dyDescent="0.4">
      <c r="Y98" s="1"/>
      <c r="Z98" s="2" t="s">
        <v>116</v>
      </c>
      <c r="AA98" s="5">
        <v>16.017309999999998</v>
      </c>
      <c r="AB98" s="5">
        <v>34.440429999999999</v>
      </c>
      <c r="AC98" s="5">
        <v>15.35758</v>
      </c>
      <c r="AD98" s="5">
        <v>32.071060000000003</v>
      </c>
      <c r="AE98" s="5">
        <v>35.457569999999997</v>
      </c>
      <c r="AF98" s="2">
        <v>39.131509999999999</v>
      </c>
      <c r="AH98" s="2" t="s">
        <v>116</v>
      </c>
      <c r="AI98">
        <f t="shared" si="35"/>
        <v>334.6461706225914</v>
      </c>
      <c r="AJ98">
        <f t="shared" si="36"/>
        <v>1314.2655406100316</v>
      </c>
      <c r="AK98">
        <f t="shared" si="37"/>
        <v>1692.4721957312865</v>
      </c>
      <c r="AL98">
        <f t="shared" si="38"/>
        <v>628.81132222123654</v>
      </c>
      <c r="AM98">
        <f t="shared" si="39"/>
        <v>862.81277174088075</v>
      </c>
      <c r="AN98">
        <f t="shared" si="40"/>
        <v>2186.527605163395</v>
      </c>
    </row>
    <row r="99" spans="17:40" x14ac:dyDescent="0.4">
      <c r="Y99" s="1">
        <v>5</v>
      </c>
      <c r="Z99" s="2" t="s">
        <v>117</v>
      </c>
      <c r="AA99" s="5">
        <v>16.709949999999999</v>
      </c>
      <c r="AB99" s="5">
        <v>36.606490000000001</v>
      </c>
      <c r="AC99" s="5">
        <v>16.232119999999998</v>
      </c>
      <c r="AD99" s="5">
        <v>32.211309999999997</v>
      </c>
      <c r="AE99" s="5">
        <v>32.975169999999999</v>
      </c>
      <c r="AF99" s="2">
        <v>40.079859999999996</v>
      </c>
      <c r="AH99" s="2" t="s">
        <v>117</v>
      </c>
      <c r="AI99">
        <f t="shared" si="35"/>
        <v>349.11734734452733</v>
      </c>
      <c r="AJ99">
        <f t="shared" si="36"/>
        <v>1396.9235683086922</v>
      </c>
      <c r="AK99">
        <f t="shared" si="37"/>
        <v>1788.8503122089371</v>
      </c>
      <c r="AL99">
        <f t="shared" si="38"/>
        <v>631.56117794604029</v>
      </c>
      <c r="AM99">
        <f t="shared" si="39"/>
        <v>802.40687182812405</v>
      </c>
      <c r="AN99">
        <f t="shared" si="40"/>
        <v>2239.5179818280499</v>
      </c>
    </row>
    <row r="100" spans="17:40" x14ac:dyDescent="0.4">
      <c r="Y100" s="1"/>
      <c r="Z100" s="2" t="s">
        <v>118</v>
      </c>
      <c r="AA100" s="5">
        <v>19.480509999999999</v>
      </c>
      <c r="AB100" s="5">
        <v>37.135980000000004</v>
      </c>
      <c r="AC100" s="5">
        <v>13.84552</v>
      </c>
      <c r="AD100" s="5">
        <v>31.22954</v>
      </c>
      <c r="AE100" s="5">
        <v>34.271949999999997</v>
      </c>
      <c r="AF100" s="2">
        <v>42.899920000000002</v>
      </c>
      <c r="AH100" s="2" t="s">
        <v>118</v>
      </c>
      <c r="AI100">
        <f t="shared" si="35"/>
        <v>407.00205423227106</v>
      </c>
      <c r="AJ100">
        <f t="shared" si="36"/>
        <v>1417.1291946930783</v>
      </c>
      <c r="AK100">
        <f t="shared" si="37"/>
        <v>1525.8365989590445</v>
      </c>
      <c r="AL100">
        <f t="shared" si="38"/>
        <v>612.31179573612451</v>
      </c>
      <c r="AM100">
        <f t="shared" si="39"/>
        <v>833.96228710723483</v>
      </c>
      <c r="AN100">
        <f t="shared" si="40"/>
        <v>2397.0927607777271</v>
      </c>
    </row>
    <row r="101" spans="17:40" x14ac:dyDescent="0.4">
      <c r="Y101" s="1"/>
      <c r="Z101" s="2" t="s">
        <v>119</v>
      </c>
      <c r="AA101" s="5">
        <v>17.748909999999999</v>
      </c>
      <c r="AB101" s="5">
        <v>33.140790000000003</v>
      </c>
      <c r="AC101" s="5">
        <v>13.183479999999999</v>
      </c>
      <c r="AD101" s="5">
        <v>29.780270000000002</v>
      </c>
      <c r="AE101" s="5">
        <v>33.197479999999999</v>
      </c>
      <c r="AF101" s="2">
        <v>44.671819999999997</v>
      </c>
      <c r="AH101" s="2" t="s">
        <v>119</v>
      </c>
      <c r="AI101">
        <f t="shared" si="35"/>
        <v>370.82411242743126</v>
      </c>
      <c r="AJ101">
        <f t="shared" si="36"/>
        <v>1264.6705713486604</v>
      </c>
      <c r="AK101">
        <f t="shared" si="37"/>
        <v>1452.8769078838918</v>
      </c>
      <c r="AL101">
        <f t="shared" si="38"/>
        <v>583.89622777686259</v>
      </c>
      <c r="AM101">
        <f t="shared" si="39"/>
        <v>807.81648978236387</v>
      </c>
      <c r="AN101">
        <f t="shared" si="40"/>
        <v>2496.1001403444498</v>
      </c>
    </row>
    <row r="102" spans="17:40" x14ac:dyDescent="0.4">
      <c r="Y102" s="1"/>
      <c r="Z102" s="2" t="s">
        <v>120</v>
      </c>
      <c r="AA102" s="5">
        <v>18.181809999999999</v>
      </c>
      <c r="AB102" s="5">
        <v>32.322499999999998</v>
      </c>
      <c r="AC102" s="5">
        <v>11.973839999999999</v>
      </c>
      <c r="AD102" s="5">
        <v>30.71528</v>
      </c>
      <c r="AE102" s="5">
        <v>35.198219999999999</v>
      </c>
      <c r="AF102" s="2">
        <v>40.928370000000001</v>
      </c>
      <c r="AH102" s="2" t="s">
        <v>120</v>
      </c>
      <c r="AI102">
        <f t="shared" si="35"/>
        <v>379.8685978786412</v>
      </c>
      <c r="AJ102">
        <f t="shared" si="36"/>
        <v>1233.4441798888038</v>
      </c>
      <c r="AK102">
        <f t="shared" si="37"/>
        <v>1319.5693121009367</v>
      </c>
      <c r="AL102">
        <f t="shared" si="38"/>
        <v>602.2287953436994</v>
      </c>
      <c r="AM102">
        <f t="shared" si="39"/>
        <v>856.50183468707269</v>
      </c>
      <c r="AN102">
        <f t="shared" si="40"/>
        <v>2286.9296594826355</v>
      </c>
    </row>
    <row r="103" spans="17:40" x14ac:dyDescent="0.4">
      <c r="Y103" s="1">
        <v>6</v>
      </c>
      <c r="Z103" s="2" t="s">
        <v>121</v>
      </c>
      <c r="AA103" s="5">
        <v>18.26839</v>
      </c>
      <c r="AB103" s="5">
        <v>30.541509999999999</v>
      </c>
      <c r="AC103" s="5">
        <v>12.12913</v>
      </c>
      <c r="AD103" s="5">
        <v>31.79055</v>
      </c>
      <c r="AE103" s="5">
        <v>35.642829999999996</v>
      </c>
      <c r="AF103" s="2">
        <v>39.730469999999997</v>
      </c>
      <c r="AH103" s="2" t="s">
        <v>121</v>
      </c>
      <c r="AI103">
        <f t="shared" si="35"/>
        <v>381.67749496888325</v>
      </c>
      <c r="AJ103">
        <f t="shared" si="36"/>
        <v>1165.4806328259169</v>
      </c>
      <c r="AK103">
        <f t="shared" si="37"/>
        <v>1336.6829463633085</v>
      </c>
      <c r="AL103">
        <f t="shared" si="38"/>
        <v>623.31141470348439</v>
      </c>
      <c r="AM103">
        <f t="shared" si="39"/>
        <v>867.32082725886221</v>
      </c>
      <c r="AN103">
        <f t="shared" si="40"/>
        <v>2219.9953291124239</v>
      </c>
    </row>
    <row r="104" spans="17:40" x14ac:dyDescent="0.4">
      <c r="Y104" s="1"/>
      <c r="Z104" s="2" t="s">
        <v>122</v>
      </c>
      <c r="AA104" s="5">
        <v>17.83549</v>
      </c>
      <c r="AB104" s="5">
        <v>30.78219</v>
      </c>
      <c r="AC104" s="5">
        <v>13.00367</v>
      </c>
      <c r="AD104" s="5">
        <v>28.938749999999999</v>
      </c>
      <c r="AE104" s="5">
        <v>33.382730000000002</v>
      </c>
      <c r="AF104" s="2">
        <v>40.753680000000003</v>
      </c>
      <c r="AH104" s="2" t="s">
        <v>122</v>
      </c>
      <c r="AI104">
        <f t="shared" si="35"/>
        <v>372.63300951767326</v>
      </c>
      <c r="AJ104">
        <f t="shared" si="36"/>
        <v>1174.665112529394</v>
      </c>
      <c r="AK104">
        <f t="shared" si="37"/>
        <v>1433.0610628409593</v>
      </c>
      <c r="AL104">
        <f t="shared" si="38"/>
        <v>567.39670129175056</v>
      </c>
      <c r="AM104">
        <f t="shared" si="39"/>
        <v>812.32430196365556</v>
      </c>
      <c r="AN104">
        <f t="shared" si="40"/>
        <v>2277.1686125067845</v>
      </c>
    </row>
    <row r="105" spans="17:40" x14ac:dyDescent="0.4">
      <c r="Y105" s="1"/>
      <c r="Z105" s="2" t="s">
        <v>123</v>
      </c>
      <c r="AA105" s="5">
        <v>19.480509999999999</v>
      </c>
      <c r="AB105" s="5">
        <v>31.215399999999999</v>
      </c>
      <c r="AC105" s="5">
        <v>10.44544</v>
      </c>
      <c r="AD105" s="5">
        <v>32.02431</v>
      </c>
      <c r="AE105" s="5">
        <v>32.789920000000002</v>
      </c>
      <c r="AF105" s="2">
        <v>39.156469999999999</v>
      </c>
      <c r="AH105" s="2" t="s">
        <v>123</v>
      </c>
      <c r="AI105">
        <f t="shared" si="35"/>
        <v>407.00205423227106</v>
      </c>
      <c r="AJ105">
        <f t="shared" si="36"/>
        <v>1191.1966417480382</v>
      </c>
      <c r="AK105">
        <f t="shared" si="37"/>
        <v>1151.1329761706863</v>
      </c>
      <c r="AL105">
        <f t="shared" si="38"/>
        <v>627.89470364630188</v>
      </c>
      <c r="AM105">
        <f t="shared" si="39"/>
        <v>797.8990596468326</v>
      </c>
      <c r="AN105">
        <f t="shared" si="40"/>
        <v>2187.9222799159124</v>
      </c>
    </row>
    <row r="106" spans="17:40" x14ac:dyDescent="0.4">
      <c r="Y106" s="1"/>
      <c r="Z106" s="2" t="s">
        <v>124</v>
      </c>
      <c r="AA106" s="5">
        <v>16.796530000000001</v>
      </c>
      <c r="AB106" s="5">
        <v>31.070989999999998</v>
      </c>
      <c r="AC106" s="5">
        <v>11.91663</v>
      </c>
      <c r="AD106" s="5">
        <v>37.120139999999999</v>
      </c>
      <c r="AE106" s="5">
        <v>31.67839</v>
      </c>
      <c r="AF106" s="2">
        <v>38.432740000000003</v>
      </c>
      <c r="AH106" s="2" t="s">
        <v>124</v>
      </c>
      <c r="AI106">
        <f t="shared" si="35"/>
        <v>350.92624443476939</v>
      </c>
      <c r="AJ106">
        <f t="shared" si="36"/>
        <v>1185.6858776048641</v>
      </c>
      <c r="AK106">
        <f t="shared" si="37"/>
        <v>1313.2645209608102</v>
      </c>
      <c r="AL106">
        <f t="shared" si="38"/>
        <v>727.80769685933092</v>
      </c>
      <c r="AM106">
        <f t="shared" si="39"/>
        <v>770.85145654901339</v>
      </c>
      <c r="AN106">
        <f t="shared" si="40"/>
        <v>2147.4828584960669</v>
      </c>
    </row>
    <row r="111" spans="17:40" x14ac:dyDescent="0.4">
      <c r="Q111" s="6"/>
    </row>
    <row r="112" spans="17:40" x14ac:dyDescent="0.4">
      <c r="Q112" s="6"/>
    </row>
    <row r="113" spans="17:23" x14ac:dyDescent="0.4">
      <c r="Q113" s="6"/>
      <c r="U113" s="5"/>
    </row>
    <row r="114" spans="17:23" x14ac:dyDescent="0.4">
      <c r="Q114" s="6"/>
      <c r="U114" s="5"/>
    </row>
    <row r="115" spans="17:23" x14ac:dyDescent="0.4">
      <c r="Q115" s="6"/>
    </row>
    <row r="116" spans="17:23" x14ac:dyDescent="0.4">
      <c r="Q116" s="6"/>
    </row>
    <row r="117" spans="17:23" x14ac:dyDescent="0.4">
      <c r="Q117" s="6"/>
    </row>
    <row r="118" spans="17:23" x14ac:dyDescent="0.4">
      <c r="Q118" s="6"/>
    </row>
    <row r="119" spans="17:23" x14ac:dyDescent="0.4">
      <c r="Q119" s="6"/>
    </row>
    <row r="120" spans="17:23" x14ac:dyDescent="0.4">
      <c r="Q120" s="6"/>
    </row>
    <row r="121" spans="17:23" x14ac:dyDescent="0.4">
      <c r="Q121" s="6"/>
    </row>
    <row r="122" spans="17:23" x14ac:dyDescent="0.4">
      <c r="Q122" s="6"/>
    </row>
    <row r="124" spans="17:23" x14ac:dyDescent="0.4">
      <c r="S124" s="5"/>
      <c r="T124" s="5"/>
      <c r="U124" s="5"/>
      <c r="V124" s="5"/>
      <c r="W124" s="5"/>
    </row>
    <row r="125" spans="17:23" x14ac:dyDescent="0.4">
      <c r="S125" s="5"/>
    </row>
    <row r="126" spans="17:23" x14ac:dyDescent="0.4">
      <c r="R126" s="5"/>
      <c r="S126" s="5"/>
    </row>
    <row r="127" spans="17:23" x14ac:dyDescent="0.4">
      <c r="R127" s="5"/>
      <c r="S127" s="5"/>
      <c r="T127" s="5"/>
    </row>
    <row r="128" spans="17:23" x14ac:dyDescent="0.4">
      <c r="R128" s="5"/>
      <c r="S128" s="5"/>
      <c r="T128" s="5"/>
    </row>
    <row r="129" spans="18:23" x14ac:dyDescent="0.4">
      <c r="R129" s="5"/>
    </row>
    <row r="130" spans="18:23" x14ac:dyDescent="0.4">
      <c r="T130" s="5"/>
    </row>
    <row r="131" spans="18:23" x14ac:dyDescent="0.4">
      <c r="S131" s="5"/>
      <c r="T131" s="5"/>
    </row>
    <row r="132" spans="18:23" x14ac:dyDescent="0.4">
      <c r="S132" s="5"/>
      <c r="T132" s="5"/>
    </row>
    <row r="133" spans="18:23" x14ac:dyDescent="0.4">
      <c r="S133" s="5"/>
      <c r="T133" s="5"/>
      <c r="U133" s="5"/>
      <c r="V133" s="5"/>
      <c r="W133" s="5"/>
    </row>
    <row r="134" spans="18:23" x14ac:dyDescent="0.4">
      <c r="S134" s="5"/>
    </row>
    <row r="135" spans="18:23" x14ac:dyDescent="0.4">
      <c r="S135" s="5"/>
    </row>
    <row r="136" spans="18:23" x14ac:dyDescent="0.4">
      <c r="S136" s="5"/>
      <c r="T136" s="5"/>
    </row>
    <row r="137" spans="18:23" x14ac:dyDescent="0.4">
      <c r="S137" s="5"/>
      <c r="T137" s="5"/>
      <c r="U137" s="5"/>
      <c r="V137" s="5"/>
      <c r="W137" s="5"/>
    </row>
    <row r="138" spans="18:23" x14ac:dyDescent="0.4">
      <c r="S138" s="4"/>
      <c r="T138" s="5"/>
    </row>
    <row r="139" spans="18:23" x14ac:dyDescent="0.4">
      <c r="S139" s="5"/>
      <c r="T139" s="4"/>
    </row>
    <row r="140" spans="18:23" x14ac:dyDescent="0.4">
      <c r="T140" s="5"/>
    </row>
    <row r="143" spans="18:23" x14ac:dyDescent="0.4">
      <c r="T143" s="5"/>
    </row>
    <row r="144" spans="18:23" x14ac:dyDescent="0.4">
      <c r="T144" s="5"/>
    </row>
    <row r="145" spans="20:21" x14ac:dyDescent="0.4">
      <c r="T145" s="5"/>
    </row>
    <row r="147" spans="20:21" x14ac:dyDescent="0.4">
      <c r="T147" s="5"/>
    </row>
    <row r="148" spans="20:21" x14ac:dyDescent="0.4">
      <c r="T148" s="5"/>
    </row>
    <row r="149" spans="20:21" x14ac:dyDescent="0.4">
      <c r="T149" s="5"/>
    </row>
    <row r="151" spans="20:21" x14ac:dyDescent="0.4">
      <c r="T151" s="5"/>
    </row>
    <row r="152" spans="20:21" x14ac:dyDescent="0.4">
      <c r="T152" s="5"/>
    </row>
    <row r="153" spans="20:21" x14ac:dyDescent="0.4">
      <c r="T153" s="5"/>
    </row>
    <row r="154" spans="20:21" x14ac:dyDescent="0.4">
      <c r="T154" s="5"/>
    </row>
    <row r="156" spans="20:21" x14ac:dyDescent="0.4">
      <c r="U156" s="5"/>
    </row>
    <row r="157" spans="20:21" x14ac:dyDescent="0.4">
      <c r="U157" s="5"/>
    </row>
    <row r="158" spans="20:21" x14ac:dyDescent="0.4">
      <c r="U158" s="5"/>
    </row>
  </sheetData>
  <mergeCells count="26">
    <mergeCell ref="I2:I6"/>
    <mergeCell ref="I7:I10"/>
    <mergeCell ref="I11:I14"/>
    <mergeCell ref="I15:I19"/>
    <mergeCell ref="I20:I23"/>
    <mergeCell ref="I24:I27"/>
    <mergeCell ref="I28:I32"/>
    <mergeCell ref="I33:I36"/>
    <mergeCell ref="I37:I40"/>
    <mergeCell ref="I41:I45"/>
    <mergeCell ref="I46:I49"/>
    <mergeCell ref="I50:I53"/>
    <mergeCell ref="Y99:Y102"/>
    <mergeCell ref="Y103:Y106"/>
    <mergeCell ref="Y77:Y80"/>
    <mergeCell ref="Y81:Y85"/>
    <mergeCell ref="Y86:Y89"/>
    <mergeCell ref="Y90:Y93"/>
    <mergeCell ref="Y94:Y98"/>
    <mergeCell ref="Y55:Y59"/>
    <mergeCell ref="Y60:Y63"/>
    <mergeCell ref="Y64:Y67"/>
    <mergeCell ref="Y68:Y72"/>
    <mergeCell ref="Y73:Y76"/>
    <mergeCell ref="B1:D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2026-07-22T08:01:47Z</dcterms:created>
  <dcterms:modified xsi:type="dcterms:W3CDTF">2026-07-23T05:28:36Z</dcterms:modified>
</cp:coreProperties>
</file>