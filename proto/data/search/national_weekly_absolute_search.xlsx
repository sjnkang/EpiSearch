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search\WBE\data\search\"/>
    </mc:Choice>
  </mc:AlternateContent>
  <xr:revisionPtr revIDLastSave="0" documentId="13_ncr:1_{36D4AE09-8ADF-46B3-AD61-101C08D491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J3" i="1" l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B107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H29" i="1" s="1"/>
  <c r="AF30" i="1"/>
  <c r="AF31" i="1"/>
  <c r="AF32" i="1"/>
  <c r="AF33" i="1"/>
  <c r="AF34" i="1"/>
  <c r="AF35" i="1"/>
  <c r="AF36" i="1"/>
  <c r="AF37" i="1"/>
  <c r="AH37" i="1" s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H61" i="1" s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C4" i="1"/>
  <c r="AC5" i="1"/>
  <c r="AC6" i="1"/>
  <c r="AC7" i="1"/>
  <c r="AC8" i="1"/>
  <c r="AC9" i="1"/>
  <c r="AC10" i="1"/>
  <c r="AC11" i="1"/>
  <c r="AC12" i="1"/>
  <c r="AC13" i="1"/>
  <c r="AH13" i="1" s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AH76" i="1" s="1"/>
  <c r="W77" i="1"/>
  <c r="W78" i="1"/>
  <c r="W79" i="1"/>
  <c r="W80" i="1"/>
  <c r="W81" i="1"/>
  <c r="W82" i="1"/>
  <c r="W83" i="1"/>
  <c r="W84" i="1"/>
  <c r="AH84" i="1" s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AH4" i="1"/>
  <c r="AH5" i="1"/>
  <c r="AH12" i="1"/>
  <c r="AH20" i="1"/>
  <c r="AH21" i="1"/>
  <c r="AH22" i="1"/>
  <c r="AH28" i="1"/>
  <c r="AH36" i="1"/>
  <c r="AH44" i="1"/>
  <c r="AH45" i="1"/>
  <c r="AH46" i="1"/>
  <c r="AH52" i="1"/>
  <c r="AH53" i="1"/>
  <c r="AH60" i="1"/>
  <c r="AH68" i="1"/>
  <c r="AH85" i="1"/>
  <c r="AH92" i="1"/>
  <c r="AH93" i="1"/>
  <c r="AH100" i="1"/>
  <c r="O106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3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4" i="1"/>
  <c r="M5" i="1"/>
  <c r="M6" i="1"/>
  <c r="M7" i="1"/>
  <c r="M8" i="1"/>
  <c r="M9" i="1"/>
  <c r="M10" i="1"/>
  <c r="M11" i="1"/>
  <c r="M12" i="1"/>
  <c r="M13" i="1"/>
  <c r="M14" i="1"/>
  <c r="M3" i="1"/>
  <c r="AH94" i="1" l="1"/>
  <c r="AH101" i="1"/>
  <c r="AH70" i="1"/>
  <c r="AH30" i="1"/>
  <c r="AH102" i="1"/>
  <c r="AH86" i="1"/>
  <c r="AH62" i="1"/>
  <c r="AH38" i="1"/>
  <c r="AH69" i="1"/>
  <c r="AH78" i="1"/>
  <c r="AH54" i="1"/>
  <c r="AH77" i="1"/>
  <c r="AH99" i="1"/>
  <c r="AH91" i="1"/>
  <c r="AH83" i="1"/>
  <c r="AH75" i="1"/>
  <c r="AH67" i="1"/>
  <c r="AH51" i="1"/>
  <c r="AH43" i="1"/>
  <c r="AH35" i="1"/>
  <c r="AH27" i="1"/>
  <c r="AH19" i="1"/>
  <c r="AH11" i="1"/>
  <c r="AH106" i="1"/>
  <c r="AH98" i="1"/>
  <c r="AH90" i="1"/>
  <c r="AH82" i="1"/>
  <c r="AH74" i="1"/>
  <c r="AH66" i="1"/>
  <c r="AH58" i="1"/>
  <c r="AH50" i="1"/>
  <c r="AH42" i="1"/>
  <c r="AH34" i="1"/>
  <c r="AH26" i="1"/>
  <c r="AH18" i="1"/>
  <c r="AH10" i="1"/>
  <c r="AH105" i="1"/>
  <c r="AH97" i="1"/>
  <c r="AH89" i="1"/>
  <c r="AH81" i="1"/>
  <c r="AH73" i="1"/>
  <c r="AH65" i="1"/>
  <c r="AH57" i="1"/>
  <c r="AH49" i="1"/>
  <c r="AH41" i="1"/>
  <c r="AH33" i="1"/>
  <c r="AH25" i="1"/>
  <c r="AH17" i="1"/>
  <c r="AH104" i="1"/>
  <c r="AH96" i="1"/>
  <c r="AH88" i="1"/>
  <c r="AH80" i="1"/>
  <c r="AH72" i="1"/>
  <c r="AH64" i="1"/>
  <c r="AH56" i="1"/>
  <c r="AH48" i="1"/>
  <c r="AH40" i="1"/>
  <c r="AH32" i="1"/>
  <c r="AH24" i="1"/>
  <c r="AH16" i="1"/>
  <c r="AH8" i="1"/>
  <c r="AH103" i="1"/>
  <c r="AH95" i="1"/>
  <c r="AH87" i="1"/>
  <c r="AH79" i="1"/>
  <c r="AH71" i="1"/>
  <c r="AH63" i="1"/>
  <c r="AH55" i="1"/>
  <c r="AH47" i="1"/>
  <c r="AH39" i="1"/>
  <c r="AH31" i="1"/>
  <c r="AH23" i="1"/>
  <c r="AH15" i="1"/>
  <c r="AH7" i="1"/>
  <c r="AH14" i="1"/>
  <c r="AH6" i="1"/>
  <c r="AH59" i="1"/>
  <c r="AH9" i="1"/>
  <c r="AH3" i="1"/>
</calcChain>
</file>

<file path=xl/sharedStrings.xml><?xml version="1.0" encoding="utf-8"?>
<sst xmlns="http://schemas.openxmlformats.org/spreadsheetml/2006/main" count="652" uniqueCount="147">
  <si>
    <t>코로나</t>
  </si>
  <si>
    <t>기침</t>
  </si>
  <si>
    <t>발열</t>
  </si>
  <si>
    <t>호흡곤란</t>
  </si>
  <si>
    <t>인플루엔자</t>
  </si>
  <si>
    <t>독감</t>
  </si>
  <si>
    <t>플루</t>
  </si>
  <si>
    <t>노로바이러스</t>
  </si>
  <si>
    <t>장염</t>
  </si>
  <si>
    <t>식중독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</si>
  <si>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</si>
  <si>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</si>
  <si>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</si>
  <si>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</si>
  <si>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</si>
  <si>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</si>
  <si>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</si>
  <si>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</si>
  <si>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</si>
  <si>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</si>
  <si>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</si>
  <si>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</si>
  <si>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</si>
  <si>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</si>
  <si>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</si>
  <si>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</si>
  <si>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</si>
  <si>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</si>
  <si>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</si>
  <si>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</si>
  <si>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</si>
  <si>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</si>
  <si>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</si>
  <si>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</si>
  <si>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</si>
  <si>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</si>
  <si>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</si>
  <si>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</si>
  <si>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</si>
  <si>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</si>
  <si>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</si>
  <si>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</si>
  <si>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</si>
  <si>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</si>
  <si>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</si>
  <si>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</si>
  <si>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</si>
  <si>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</si>
  <si>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</si>
  <si>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</si>
  <si>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</si>
  <si>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</si>
  <si>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</si>
  <si>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</si>
  <si>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</si>
  <si>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</si>
  <si>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</si>
  <si>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</si>
  <si>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</si>
  <si>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</si>
  <si>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</si>
  <si>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</si>
  <si>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</si>
  <si>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</si>
  <si>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</si>
  <si>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</si>
  <si>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</si>
  <si>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</si>
  <si>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</si>
  <si>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</si>
  <si>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</si>
  <si>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</si>
  <si>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</si>
  <si>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</si>
  <si>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</si>
  <si>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</si>
  <si>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</si>
  <si>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</si>
  <si>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</si>
  <si>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</si>
  <si>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</si>
  <si>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</si>
  <si>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</si>
  <si>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</si>
  <si>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</si>
  <si>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</si>
  <si>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</si>
  <si>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</si>
  <si>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</si>
  <si>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</si>
  <si>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</si>
  <si>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</si>
  <si>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</si>
  <si>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</si>
  <si>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</si>
  <si>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</si>
  <si>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</si>
  <si>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</si>
  <si>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</si>
  <si>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</si>
  <si>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</si>
  <si>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</si>
  <si>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</si>
  <si>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</si>
  <si>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</si>
  <si>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</si>
  <si>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</si>
  <si>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</si>
  <si>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</si>
  <si>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</si>
  <si>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</si>
  <si>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</si>
  <si>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</si>
  <si>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</si>
  <si>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</si>
  <si>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</si>
  <si>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</si>
  <si>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</si>
  <si>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</si>
  <si>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</si>
  <si>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</si>
  <si>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</si>
  <si>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</si>
  <si>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</si>
  <si>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</si>
  <si>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</si>
  <si>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</si>
  <si>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</si>
  <si>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</si>
  <si>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</si>
  <si>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주</t>
    <phoneticPr fontId="3" type="noConversion"/>
  </si>
  <si>
    <t>세종</t>
    <phoneticPr fontId="3" type="noConversion"/>
  </si>
  <si>
    <t>검증</t>
    <phoneticPr fontId="3" type="noConversion"/>
  </si>
  <si>
    <t>코로나</t>
    <phoneticPr fontId="3" type="noConversion"/>
  </si>
  <si>
    <t>인플루엔자</t>
    <phoneticPr fontId="3" type="noConversion"/>
  </si>
  <si>
    <t>노로바이러스</t>
    <phoneticPr fontId="3" type="noConversion"/>
  </si>
  <si>
    <t>고열</t>
  </si>
  <si>
    <t>근육통</t>
  </si>
  <si>
    <t>오한</t>
  </si>
  <si>
    <t>기침+발열+호흡곤란</t>
    <phoneticPr fontId="3" type="noConversion"/>
  </si>
  <si>
    <t>코로나+기침+발열+호흡곤란</t>
  </si>
  <si>
    <t>인플루엔자+독감+플루</t>
    <phoneticPr fontId="3" type="noConversion"/>
  </si>
  <si>
    <t>고열+근육통+오한</t>
    <phoneticPr fontId="3" type="noConversion"/>
  </si>
  <si>
    <t>인플루엔자+독감+플루+고열+근육통+오한</t>
    <phoneticPr fontId="3" type="noConversion"/>
  </si>
  <si>
    <t>구토+물설사+복통</t>
    <phoneticPr fontId="3" type="noConversion"/>
  </si>
  <si>
    <t>노로바이러스+장염+식중독</t>
    <phoneticPr fontId="3" type="noConversion"/>
  </si>
  <si>
    <t>노로바이러스+장염+식중독+구토+물설사+복통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</si>
</sst>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4" fillId="0" borderId="0">
      <alignment vertical="center"/>
    </xf>
    <xf numFmtId="0" fontId="1" fillId="0" borderId="0"/>
    <xf numFmtId="0" fontId="4" fillId="0" borderId="0"/>
  </cellStyleXfs>
  <cellXfs count="14">
    <xf numFmtId="0" fontId="0" fillId="0" borderId="0" xfId="0"/>
    <xf numFmtId="0" fontId="2" fillId="0" borderId="0" xfId="1"/>
    <xf numFmtId="0" fontId="4" fillId="0" borderId="0" xfId="2">
      <alignment vertical="center"/>
    </xf>
    <xf numFmtId="2" fontId="1" fillId="0" borderId="0" xfId="3" applyNumberFormat="1"/>
    <xf numFmtId="0" fontId="5" fillId="0" borderId="0" xfId="0" applyFont="1"/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right" vertical="top"/>
    </xf>
    <xf numFmtId="0" fontId="2" fillId="0" borderId="0" xfId="1" applyAlignment="1">
      <alignment horizontal="right"/>
    </xf>
    <xf numFmtId="1" fontId="0" fillId="0" borderId="0" xfId="0" applyNumberFormat="1"/>
    <xf numFmtId="1" fontId="1" fillId="0" borderId="0" xfId="3" applyNumberFormat="1"/>
    <xf numFmtId="1" fontId="4" fillId="0" borderId="0" xfId="2" applyNumberForma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</cellXfs>
  <cellStyles count="5">
    <cellStyle name="표준" xfId="0" builtinId="0"/>
    <cellStyle name="표준 2" xfId="4" xr:uid="{3E33CA43-1E56-4938-8A95-02119FCCEDD9}"/>
    <cellStyle name="표준 3" xfId="2" xr:uid="{E2405125-570E-4841-A421-D7A8A9853DDF}"/>
    <cellStyle name="표준 4" xfId="1" xr:uid="{61B7335E-FAA7-4E48-A19C-803A20933DBD}"/>
    <cellStyle name="표준 5" xfId="3" xr:uid="{30BDEC40-1268-4026-8C5A-850131A0425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15"/>
  <sheetViews>
    <sheetView tabSelected="1" topLeftCell="A176" zoomScale="85" zoomScaleNormal="85" workbookViewId="0">
      <selection activeCell="D111" sqref="D111:G206"/>
    </sheetView>
  </sheetViews>
  <sheetFormatPr defaultRowHeight="17.399999999999999" x14ac:dyDescent="0.4"/>
  <cols>
    <col min="1" max="1" width="10.59765625" customWidth="1"/>
    <col min="11" max="11" width="8.796875" customWidth="1"/>
    <col min="12" max="12" width="16.796875" customWidth="1"/>
    <col min="13" max="13" width="15.09765625" customWidth="1"/>
    <col min="14" max="14" width="16.796875" customWidth="1"/>
    <col min="15" max="15" width="13.5" customWidth="1"/>
    <col min="17" max="18" width="13" bestFit="1" customWidth="1"/>
    <col min="19" max="19" width="12" bestFit="1" customWidth="1"/>
    <col min="20" max="20" width="13" bestFit="1" customWidth="1"/>
    <col min="21" max="24" width="12" bestFit="1" customWidth="1"/>
    <col min="25" max="25" width="13" bestFit="1" customWidth="1"/>
    <col min="26" max="31" width="12" bestFit="1" customWidth="1"/>
    <col min="32" max="32" width="13" bestFit="1" customWidth="1"/>
    <col min="33" max="33" width="12" bestFit="1" customWidth="1"/>
    <col min="34" max="34" width="13.69921875" customWidth="1"/>
  </cols>
  <sheetData>
    <row r="1" spans="1:36" x14ac:dyDescent="0.4">
      <c r="B1" s="11" t="s">
        <v>133</v>
      </c>
      <c r="C1" s="11"/>
      <c r="D1" s="11"/>
      <c r="E1" s="11"/>
      <c r="F1" s="11" t="s">
        <v>134</v>
      </c>
      <c r="G1" s="11"/>
      <c r="H1" s="11"/>
      <c r="I1" s="11" t="s">
        <v>135</v>
      </c>
      <c r="J1" s="11"/>
      <c r="K1" s="11"/>
      <c r="Q1" s="3">
        <v>18.219749197900644</v>
      </c>
      <c r="R1" s="3">
        <v>6.3585165560903434</v>
      </c>
      <c r="S1" s="3">
        <v>4.6079222087564515</v>
      </c>
      <c r="T1" s="3">
        <v>5.9379753044146941</v>
      </c>
      <c r="U1" s="3">
        <v>2.7346136141353719</v>
      </c>
      <c r="V1" s="3">
        <v>2.8155540044186229</v>
      </c>
      <c r="W1" s="3">
        <v>2.1377915295415364</v>
      </c>
      <c r="X1" s="3">
        <v>0.76463347207572419</v>
      </c>
      <c r="Y1" s="3">
        <v>26.803323801105027</v>
      </c>
      <c r="Z1" s="3">
        <v>2.9555742428142326</v>
      </c>
      <c r="AA1" s="3">
        <v>3.114037440706146</v>
      </c>
      <c r="AB1" s="3">
        <v>4.1753219423465655</v>
      </c>
      <c r="AC1" s="3">
        <v>3.3824228107422063</v>
      </c>
      <c r="AD1" s="3">
        <v>3.4845230117124841</v>
      </c>
      <c r="AE1" s="3">
        <v>4.9205602581519212</v>
      </c>
      <c r="AF1" s="3">
        <v>6.2840835630885703</v>
      </c>
      <c r="AG1" s="3">
        <v>1.3033970419994592</v>
      </c>
      <c r="AJ1" s="4" t="s">
        <v>132</v>
      </c>
    </row>
    <row r="2" spans="1:36" x14ac:dyDescent="0.4">
      <c r="A2" s="5" t="s">
        <v>130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6" t="s">
        <v>130</v>
      </c>
      <c r="M2" s="5" t="s">
        <v>0</v>
      </c>
      <c r="N2" s="5" t="s">
        <v>4</v>
      </c>
      <c r="O2" s="5" t="s">
        <v>7</v>
      </c>
      <c r="P2" s="3"/>
      <c r="Q2" t="s">
        <v>114</v>
      </c>
      <c r="R2" t="s">
        <v>115</v>
      </c>
      <c r="S2" t="s">
        <v>116</v>
      </c>
      <c r="T2" t="s">
        <v>117</v>
      </c>
      <c r="U2" t="s">
        <v>118</v>
      </c>
      <c r="V2" t="s">
        <v>119</v>
      </c>
      <c r="W2" t="s">
        <v>120</v>
      </c>
      <c r="X2" t="s">
        <v>131</v>
      </c>
      <c r="Y2" t="s">
        <v>121</v>
      </c>
      <c r="Z2" t="s">
        <v>122</v>
      </c>
      <c r="AA2" t="s">
        <v>123</v>
      </c>
      <c r="AB2" t="s">
        <v>124</v>
      </c>
      <c r="AC2" t="s">
        <v>125</v>
      </c>
      <c r="AD2" t="s">
        <v>126</v>
      </c>
      <c r="AE2" t="s">
        <v>127</v>
      </c>
      <c r="AF2" t="s">
        <v>128</v>
      </c>
      <c r="AG2" t="s">
        <v>129</v>
      </c>
    </row>
    <row r="3" spans="1:36" x14ac:dyDescent="0.4">
      <c r="A3" s="1" t="s">
        <v>10</v>
      </c>
      <c r="B3" s="8">
        <v>43870.889475847885</v>
      </c>
      <c r="C3" s="8">
        <v>709.87348681331309</v>
      </c>
      <c r="D3" s="8">
        <v>87.48815411294116</v>
      </c>
      <c r="E3" s="8">
        <v>93.197132698992917</v>
      </c>
      <c r="F3" s="8">
        <v>1110.4951230090958</v>
      </c>
      <c r="G3" s="8">
        <v>14987.149791884276</v>
      </c>
      <c r="H3" s="8">
        <v>389.55567788925572</v>
      </c>
      <c r="I3" s="8">
        <v>8366.6226944562823</v>
      </c>
      <c r="J3" s="8">
        <v>1207.7623612427076</v>
      </c>
      <c r="K3" s="8">
        <v>776.45923349712405</v>
      </c>
      <c r="L3" s="7" t="s">
        <v>10</v>
      </c>
      <c r="M3" s="8">
        <f>B3+C3+D3+E3</f>
        <v>44761.448249473135</v>
      </c>
      <c r="N3" s="8">
        <f>F3+G3+H3</f>
        <v>16487.200592782629</v>
      </c>
      <c r="O3" s="8">
        <f>I3+J3+K3</f>
        <v>10350.844289196113</v>
      </c>
      <c r="P3" s="9"/>
      <c r="Q3" s="10">
        <f>$O3*$Q$1</f>
        <v>188589.78693567534</v>
      </c>
      <c r="R3" s="10">
        <f>$O3*$R$1</f>
        <v>65816.014782366663</v>
      </c>
      <c r="S3" s="10">
        <f>$O3*$S$1</f>
        <v>47695.885279566653</v>
      </c>
      <c r="T3" s="10">
        <f>$O3*$T$1</f>
        <v>61463.057769088387</v>
      </c>
      <c r="U3" s="10">
        <f>$O3*$U$1</f>
        <v>28305.559711031055</v>
      </c>
      <c r="V3" s="10">
        <f>$O3*$V$1</f>
        <v>29143.361087559751</v>
      </c>
      <c r="W3" s="10">
        <f>$O3*$W$1</f>
        <v>22127.947245046835</v>
      </c>
      <c r="X3" s="10">
        <f>$O3*$X$1</f>
        <v>7914.6020077632056</v>
      </c>
      <c r="Y3" s="10">
        <f>$O3*$Y$1</f>
        <v>277437.03109814221</v>
      </c>
      <c r="Z3" s="10">
        <f>$O3*$Z$1</f>
        <v>30592.688772528825</v>
      </c>
      <c r="AA3" s="10">
        <f>$O3*$AA$1</f>
        <v>32232.91665947609</v>
      </c>
      <c r="AB3" s="10">
        <f>$O3*$AB$1</f>
        <v>43218.107282493169</v>
      </c>
      <c r="AC3" s="10">
        <f>$O3*$AC$1</f>
        <v>35010.931834217634</v>
      </c>
      <c r="AD3" s="10">
        <f>$O3*$AD$1</f>
        <v>36067.75511635661</v>
      </c>
      <c r="AE3" s="10">
        <f>$O3*$AE$1</f>
        <v>50931.953047737166</v>
      </c>
      <c r="AF3" s="10">
        <f>$O3*$AF$1</f>
        <v>65045.570461826494</v>
      </c>
      <c r="AG3" s="10">
        <f>$O3*$AG$1</f>
        <v>13491.259828735208</v>
      </c>
      <c r="AH3" s="10">
        <f>SUM(Q3:AG3)</f>
        <v>1035084.4289196114</v>
      </c>
      <c r="AJ3">
        <f>$B3/$B$8*100</f>
        <v>6.001739999999999</v>
      </c>
    </row>
    <row r="4" spans="1:36" x14ac:dyDescent="0.4">
      <c r="A4" s="1" t="s">
        <v>11</v>
      </c>
      <c r="B4" s="8">
        <v>47138.688670777658</v>
      </c>
      <c r="C4" s="8">
        <v>762.74964310796963</v>
      </c>
      <c r="D4" s="8">
        <v>94.004860817361944</v>
      </c>
      <c r="E4" s="8">
        <v>100.13908256238</v>
      </c>
      <c r="F4" s="8">
        <v>1193.2122758249818</v>
      </c>
      <c r="G4" s="8">
        <v>16103.493604588903</v>
      </c>
      <c r="H4" s="8">
        <v>418.57240733778093</v>
      </c>
      <c r="I4" s="8">
        <v>8989.8250783577296</v>
      </c>
      <c r="J4" s="8">
        <v>1297.7246327828861</v>
      </c>
      <c r="K4" s="8">
        <v>834.29514447208965</v>
      </c>
      <c r="L4" s="7" t="s">
        <v>11</v>
      </c>
      <c r="M4" s="8">
        <f t="shared" ref="M4:M67" si="0">B4+C4+D4+E4</f>
        <v>48095.582257265371</v>
      </c>
      <c r="N4" s="8">
        <f t="shared" ref="N4:N67" si="1">F4+G4+H4</f>
        <v>17715.278287751666</v>
      </c>
      <c r="O4" s="8">
        <f t="shared" ref="O4:O67" si="2">I4+J4+K4</f>
        <v>11121.844855612704</v>
      </c>
      <c r="P4" s="9"/>
      <c r="Q4" s="10">
        <f t="shared" ref="Q4:Q67" si="3">$O4*$Q$1</f>
        <v>202637.22388722497</v>
      </c>
      <c r="R4" s="10">
        <f t="shared" ref="R4:R67" si="4">$O4*$R$1</f>
        <v>70718.434648681592</v>
      </c>
      <c r="S4" s="10">
        <f t="shared" ref="S4:S67" si="5">$O4*$S$1</f>
        <v>51248.595912521472</v>
      </c>
      <c r="T4" s="10">
        <f t="shared" ref="T4:T67" si="6">$O4*$T$1</f>
        <v>66041.240092159846</v>
      </c>
      <c r="U4" s="10">
        <f t="shared" ref="U4:U67" si="7">$O4*$U$1</f>
        <v>30413.94835645995</v>
      </c>
      <c r="V4" s="10">
        <f t="shared" ref="V4:V67" si="8">$O4*$V$1</f>
        <v>31314.154819743009</v>
      </c>
      <c r="W4" s="10">
        <f t="shared" ref="W4:W67" si="9">$O4*$W$1</f>
        <v>23776.185725203952</v>
      </c>
      <c r="X4" s="10">
        <f t="shared" ref="X4:X67" si="10">$O4*$X$1</f>
        <v>8504.1348478346736</v>
      </c>
      <c r="Y4" s="10">
        <f t="shared" ref="Y4:Y67" si="11">$O4*$Y$1</f>
        <v>298102.40893064148</v>
      </c>
      <c r="Z4" s="10">
        <f t="shared" ref="Z4:Z67" si="12">$O4*$Z$1</f>
        <v>32871.43818782489</v>
      </c>
      <c r="AA4" s="10">
        <f t="shared" ref="AA4:AA67" si="13">$O4*$AA$1</f>
        <v>34633.841290103002</v>
      </c>
      <c r="AB4" s="10">
        <f t="shared" ref="AB4:AB67" si="14">$O4*$AB$1</f>
        <v>46437.282865013993</v>
      </c>
      <c r="AC4" s="10">
        <f t="shared" ref="AC4:AC67" si="15">$O4*$AC$1</f>
        <v>37618.781737160272</v>
      </c>
      <c r="AD4" s="10">
        <f t="shared" ref="AD4:AD67" si="16">$O4*$AD$1</f>
        <v>38754.324332078577</v>
      </c>
      <c r="AE4" s="10">
        <f t="shared" ref="AE4:AE67" si="17">$O4*$AE$1</f>
        <v>54725.707793859263</v>
      </c>
      <c r="AF4" s="10">
        <f t="shared" ref="AF4:AF67" si="18">$O4*$AF$1</f>
        <v>69890.602448376972</v>
      </c>
      <c r="AG4" s="10">
        <f t="shared" ref="AG4:AG67" si="19">$O4*$AG$1</f>
        <v>14496.1796863825</v>
      </c>
      <c r="AH4" s="10">
        <f t="shared" ref="AH4:AH67" si="20">SUM(Q4:AG4)</f>
        <v>1112184.4855612705</v>
      </c>
      <c r="AJ4">
        <f t="shared" ref="AJ4:AJ67" si="21">$B4/$B$8*100</f>
        <v>6.4487899999999998</v>
      </c>
    </row>
    <row r="5" spans="1:36" x14ac:dyDescent="0.4">
      <c r="A5" s="1" t="s">
        <v>12</v>
      </c>
      <c r="B5" s="8">
        <v>76534.993004453572</v>
      </c>
      <c r="C5" s="8">
        <v>1238.4103216602027</v>
      </c>
      <c r="D5" s="8">
        <v>152.6275246070127</v>
      </c>
      <c r="E5" s="8">
        <v>162.58712746363113</v>
      </c>
      <c r="F5" s="8">
        <v>1937.315096329907</v>
      </c>
      <c r="G5" s="8">
        <v>26145.843364084019</v>
      </c>
      <c r="H5" s="8">
        <v>679.59964884033457</v>
      </c>
      <c r="I5" s="8">
        <v>14595.997871062957</v>
      </c>
      <c r="J5" s="8">
        <v>2107.0027294441229</v>
      </c>
      <c r="K5" s="8">
        <v>1354.5725357736721</v>
      </c>
      <c r="L5" s="7" t="s">
        <v>12</v>
      </c>
      <c r="M5" s="8">
        <f t="shared" si="0"/>
        <v>78088.617978184426</v>
      </c>
      <c r="N5" s="8">
        <f t="shared" si="1"/>
        <v>28762.758109254264</v>
      </c>
      <c r="O5" s="8">
        <f t="shared" si="2"/>
        <v>18057.573136280753</v>
      </c>
      <c r="P5" s="9"/>
      <c r="Q5" s="10">
        <f t="shared" si="3"/>
        <v>329004.45366578345</v>
      </c>
      <c r="R5" s="10">
        <f t="shared" si="4"/>
        <v>114819.37774985339</v>
      </c>
      <c r="S5" s="10">
        <f t="shared" si="5"/>
        <v>83207.892290911972</v>
      </c>
      <c r="T5" s="10">
        <f t="shared" si="6"/>
        <v>107225.42334089731</v>
      </c>
      <c r="U5" s="10">
        <f t="shared" si="7"/>
        <v>49380.485336718513</v>
      </c>
      <c r="V5" s="10">
        <f t="shared" si="8"/>
        <v>50842.072353937423</v>
      </c>
      <c r="W5" s="10">
        <f t="shared" si="9"/>
        <v>38603.326894817787</v>
      </c>
      <c r="X5" s="10">
        <f t="shared" si="10"/>
        <v>13807.424844455676</v>
      </c>
      <c r="Y5" s="10">
        <f t="shared" si="11"/>
        <v>484002.97983386862</v>
      </c>
      <c r="Z5" s="10">
        <f t="shared" si="12"/>
        <v>53370.498049325615</v>
      </c>
      <c r="AA5" s="10">
        <f t="shared" si="13"/>
        <v>56231.95883466777</v>
      </c>
      <c r="AB5" s="10">
        <f t="shared" si="14"/>
        <v>75396.181341440912</v>
      </c>
      <c r="AC5" s="10">
        <f t="shared" si="15"/>
        <v>61078.347282801704</v>
      </c>
      <c r="AD5" s="10">
        <f t="shared" si="16"/>
        <v>62922.029129051458</v>
      </c>
      <c r="AE5" s="10">
        <f t="shared" si="17"/>
        <v>88853.376733054814</v>
      </c>
      <c r="AF5" s="10">
        <f t="shared" si="18"/>
        <v>113475.2985349716</v>
      </c>
      <c r="AG5" s="10">
        <f t="shared" si="19"/>
        <v>23536.187411517229</v>
      </c>
      <c r="AH5" s="10">
        <f t="shared" si="20"/>
        <v>1805757.3136280749</v>
      </c>
      <c r="AJ5">
        <f t="shared" si="21"/>
        <v>10.47034</v>
      </c>
    </row>
    <row r="6" spans="1:36" x14ac:dyDescent="0.4">
      <c r="A6" s="1" t="s">
        <v>13</v>
      </c>
      <c r="B6" s="8">
        <v>198092.44485097635</v>
      </c>
      <c r="C6" s="8">
        <v>3205.3276379352178</v>
      </c>
      <c r="D6" s="8">
        <v>395.03968464720913</v>
      </c>
      <c r="E6" s="8">
        <v>420.81772423620487</v>
      </c>
      <c r="F6" s="8">
        <v>5014.2747626091059</v>
      </c>
      <c r="G6" s="8">
        <v>67672.235030853088</v>
      </c>
      <c r="H6" s="8">
        <v>1758.9804437665935</v>
      </c>
      <c r="I6" s="8">
        <v>37778.234371175269</v>
      </c>
      <c r="J6" s="8">
        <v>5453.4704401028575</v>
      </c>
      <c r="K6" s="8">
        <v>3505.9856257356578</v>
      </c>
      <c r="L6" s="7" t="s">
        <v>13</v>
      </c>
      <c r="M6" s="8">
        <f t="shared" si="0"/>
        <v>202113.62989779498</v>
      </c>
      <c r="N6" s="8">
        <f t="shared" si="1"/>
        <v>74445.490237228776</v>
      </c>
      <c r="O6" s="8">
        <f t="shared" si="2"/>
        <v>46737.690437013785</v>
      </c>
      <c r="P6" s="9"/>
      <c r="Q6" s="10">
        <f t="shared" si="3"/>
        <v>851548.99785151053</v>
      </c>
      <c r="R6" s="10">
        <f t="shared" si="4"/>
        <v>297182.37843717745</v>
      </c>
      <c r="S6" s="10">
        <f t="shared" si="5"/>
        <v>215363.64175069984</v>
      </c>
      <c r="T6" s="10">
        <f t="shared" si="6"/>
        <v>277527.25160036667</v>
      </c>
      <c r="U6" s="10">
        <f t="shared" si="7"/>
        <v>127809.52456230247</v>
      </c>
      <c r="V6" s="10">
        <f t="shared" si="8"/>
        <v>131592.49146721215</v>
      </c>
      <c r="W6" s="10">
        <f t="shared" si="9"/>
        <v>99915.438726582535</v>
      </c>
      <c r="X6" s="10">
        <f t="shared" si="10"/>
        <v>35737.202515654222</v>
      </c>
      <c r="Y6" s="10">
        <f t="shared" si="11"/>
        <v>1252725.4504990904</v>
      </c>
      <c r="Z6" s="10">
        <f t="shared" si="12"/>
        <v>138136.71402426303</v>
      </c>
      <c r="AA6" s="10">
        <f t="shared" si="13"/>
        <v>145542.91791299451</v>
      </c>
      <c r="AB6" s="10">
        <f t="shared" si="14"/>
        <v>195144.90441626491</v>
      </c>
      <c r="AC6" s="10">
        <f t="shared" si="15"/>
        <v>158086.6302555633</v>
      </c>
      <c r="AD6" s="10">
        <f t="shared" si="16"/>
        <v>162858.55784206904</v>
      </c>
      <c r="AE6" s="10">
        <f t="shared" si="17"/>
        <v>229975.62212217713</v>
      </c>
      <c r="AF6" s="10">
        <f t="shared" si="18"/>
        <v>293703.55225196021</v>
      </c>
      <c r="AG6" s="10">
        <f t="shared" si="19"/>
        <v>60917.767465490178</v>
      </c>
      <c r="AH6" s="10">
        <f t="shared" si="20"/>
        <v>4673769.0437013777</v>
      </c>
      <c r="AJ6">
        <f t="shared" si="21"/>
        <v>27.099959999999999</v>
      </c>
    </row>
    <row r="7" spans="1:36" x14ac:dyDescent="0.4">
      <c r="A7" s="1" t="s">
        <v>14</v>
      </c>
      <c r="B7" s="8">
        <v>433385.09762247337</v>
      </c>
      <c r="C7" s="8">
        <v>7012.590673630225</v>
      </c>
      <c r="D7" s="8">
        <v>864.26472460561399</v>
      </c>
      <c r="E7" s="8">
        <v>920.66171749546083</v>
      </c>
      <c r="F7" s="8">
        <v>10970.191009223345</v>
      </c>
      <c r="G7" s="8">
        <v>148052.78518946341</v>
      </c>
      <c r="H7" s="8">
        <v>3848.2836228877482</v>
      </c>
      <c r="I7" s="8">
        <v>82650.924942005819</v>
      </c>
      <c r="J7" s="8">
        <v>11931.059868756025</v>
      </c>
      <c r="K7" s="8">
        <v>7670.3678619116581</v>
      </c>
      <c r="L7" s="7" t="s">
        <v>14</v>
      </c>
      <c r="M7" s="8">
        <f t="shared" si="0"/>
        <v>442182.61473820469</v>
      </c>
      <c r="N7" s="8">
        <f t="shared" si="1"/>
        <v>162871.25982157449</v>
      </c>
      <c r="O7" s="8">
        <f t="shared" si="2"/>
        <v>102252.3526726735</v>
      </c>
      <c r="P7" s="9"/>
      <c r="Q7" s="10">
        <f t="shared" si="3"/>
        <v>1863012.2205913968</v>
      </c>
      <c r="R7" s="10">
        <f t="shared" si="4"/>
        <v>650173.27736838313</v>
      </c>
      <c r="S7" s="10">
        <f t="shared" si="5"/>
        <v>471170.8867780093</v>
      </c>
      <c r="T7" s="10">
        <f t="shared" si="6"/>
        <v>607171.94498863711</v>
      </c>
      <c r="U7" s="10">
        <f t="shared" si="7"/>
        <v>279620.67569606431</v>
      </c>
      <c r="V7" s="10">
        <f t="shared" si="8"/>
        <v>287897.02102877112</v>
      </c>
      <c r="W7" s="10">
        <f t="shared" si="9"/>
        <v>218594.21341933528</v>
      </c>
      <c r="X7" s="10">
        <f t="shared" si="10"/>
        <v>78185.571452017801</v>
      </c>
      <c r="Y7" s="10">
        <f t="shared" si="11"/>
        <v>2740702.9181104549</v>
      </c>
      <c r="Z7" s="10">
        <f t="shared" si="12"/>
        <v>302214.41982651083</v>
      </c>
      <c r="AA7" s="10">
        <f t="shared" si="13"/>
        <v>318417.65462299442</v>
      </c>
      <c r="AB7" s="10">
        <f t="shared" si="14"/>
        <v>426936.49177077314</v>
      </c>
      <c r="AC7" s="10">
        <f t="shared" si="15"/>
        <v>345860.69013210764</v>
      </c>
      <c r="AD7" s="10">
        <f t="shared" si="16"/>
        <v>356300.67588967131</v>
      </c>
      <c r="AE7" s="10">
        <f t="shared" si="17"/>
        <v>503138.86286369158</v>
      </c>
      <c r="AF7" s="10">
        <f t="shared" si="18"/>
        <v>642562.32871748321</v>
      </c>
      <c r="AG7" s="10">
        <f t="shared" si="19"/>
        <v>133275.41401104812</v>
      </c>
      <c r="AH7" s="10">
        <f t="shared" si="20"/>
        <v>10225235.26726735</v>
      </c>
      <c r="AJ7">
        <f t="shared" si="21"/>
        <v>59.289079999999991</v>
      </c>
    </row>
    <row r="8" spans="1:36" x14ac:dyDescent="0.4">
      <c r="A8" s="1" t="s">
        <v>15</v>
      </c>
      <c r="B8" s="8">
        <v>730969.5101062007</v>
      </c>
      <c r="C8" s="8">
        <v>11827.794719753158</v>
      </c>
      <c r="D8" s="8">
        <v>1457.713165064484</v>
      </c>
      <c r="E8" s="8">
        <v>1552.8352227686123</v>
      </c>
      <c r="F8" s="8">
        <v>18502.886213149781</v>
      </c>
      <c r="G8" s="8">
        <v>249713.41297497519</v>
      </c>
      <c r="H8" s="8">
        <v>6490.7123249133701</v>
      </c>
      <c r="I8" s="8">
        <v>139403.28462173106</v>
      </c>
      <c r="J8" s="8">
        <v>20123.536861688568</v>
      </c>
      <c r="K8" s="8">
        <v>12937.235426678333</v>
      </c>
      <c r="L8" s="7" t="s">
        <v>15</v>
      </c>
      <c r="M8" s="8">
        <f t="shared" si="0"/>
        <v>745807.85321378696</v>
      </c>
      <c r="N8" s="8">
        <f t="shared" si="1"/>
        <v>274707.01151303831</v>
      </c>
      <c r="O8" s="8">
        <f t="shared" si="2"/>
        <v>172464.05691009795</v>
      </c>
      <c r="P8" s="9"/>
      <c r="Q8" s="10">
        <f t="shared" si="3"/>
        <v>3142251.8625544482</v>
      </c>
      <c r="R8" s="10">
        <f t="shared" si="4"/>
        <v>1096615.5611933649</v>
      </c>
      <c r="S8" s="10">
        <f t="shared" si="5"/>
        <v>794700.95804827695</v>
      </c>
      <c r="T8" s="10">
        <f t="shared" si="6"/>
        <v>1024087.310831332</v>
      </c>
      <c r="U8" s="10">
        <f t="shared" si="7"/>
        <v>471622.55797537143</v>
      </c>
      <c r="V8" s="10">
        <f t="shared" si="8"/>
        <v>485581.86605150753</v>
      </c>
      <c r="W8" s="10">
        <f t="shared" si="9"/>
        <v>368692.20001277688</v>
      </c>
      <c r="X8" s="10">
        <f t="shared" si="10"/>
        <v>131871.79064343349</v>
      </c>
      <c r="Y8" s="10">
        <f t="shared" si="11"/>
        <v>4622609.9614135604</v>
      </c>
      <c r="Z8" s="10">
        <f t="shared" si="12"/>
        <v>509730.32441473345</v>
      </c>
      <c r="AA8" s="10">
        <f t="shared" si="13"/>
        <v>537059.53039412049</v>
      </c>
      <c r="AB8" s="10">
        <f t="shared" si="14"/>
        <v>720092.96108283882</v>
      </c>
      <c r="AC8" s="10">
        <f t="shared" si="15"/>
        <v>583346.36012585729</v>
      </c>
      <c r="AD8" s="10">
        <f t="shared" si="16"/>
        <v>600954.97499652777</v>
      </c>
      <c r="AE8" s="10">
        <f t="shared" si="17"/>
        <v>848619.78439147922</v>
      </c>
      <c r="AF8" s="10">
        <f t="shared" si="18"/>
        <v>1083778.5452523183</v>
      </c>
      <c r="AG8" s="10">
        <f t="shared" si="19"/>
        <v>224789.14162784806</v>
      </c>
      <c r="AH8" s="10">
        <f t="shared" si="20"/>
        <v>17246405.691009793</v>
      </c>
      <c r="AJ8">
        <f t="shared" si="21"/>
        <v>100</v>
      </c>
    </row>
    <row r="9" spans="1:36" x14ac:dyDescent="0.4">
      <c r="A9" s="1" t="s">
        <v>16</v>
      </c>
      <c r="B9" s="8">
        <v>599032.36431312084</v>
      </c>
      <c r="C9" s="8">
        <v>9692.9239012371199</v>
      </c>
      <c r="D9" s="8">
        <v>1194.6016238516884</v>
      </c>
      <c r="E9" s="8">
        <v>1272.5545211162466</v>
      </c>
      <c r="F9" s="8">
        <v>15163.187412932477</v>
      </c>
      <c r="G9" s="8">
        <v>204641.11581530276</v>
      </c>
      <c r="H9" s="8">
        <v>5319.1640640445739</v>
      </c>
      <c r="I9" s="8">
        <v>114241.53542031863</v>
      </c>
      <c r="J9" s="8">
        <v>16491.316939947545</v>
      </c>
      <c r="K9" s="8">
        <v>10602.114887381058</v>
      </c>
      <c r="L9" s="7" t="s">
        <v>16</v>
      </c>
      <c r="M9" s="8">
        <f t="shared" si="0"/>
        <v>611192.4443593258</v>
      </c>
      <c r="N9" s="8">
        <f t="shared" si="1"/>
        <v>225123.46729227982</v>
      </c>
      <c r="O9" s="8">
        <f t="shared" si="2"/>
        <v>141334.96724764723</v>
      </c>
      <c r="P9" s="9"/>
      <c r="Q9" s="10">
        <f t="shared" si="3"/>
        <v>2575087.6561456346</v>
      </c>
      <c r="R9" s="10">
        <f t="shared" si="4"/>
        <v>898680.72919865139</v>
      </c>
      <c r="S9" s="10">
        <f t="shared" si="5"/>
        <v>651260.53445429937</v>
      </c>
      <c r="T9" s="10">
        <f t="shared" si="6"/>
        <v>839243.54516678886</v>
      </c>
      <c r="U9" s="10">
        <f t="shared" si="7"/>
        <v>386496.52558879298</v>
      </c>
      <c r="V9" s="10">
        <f t="shared" si="8"/>
        <v>397936.23299848806</v>
      </c>
      <c r="W9" s="10">
        <f t="shared" si="9"/>
        <v>302144.6958100507</v>
      </c>
      <c r="X9" s="10">
        <f t="shared" si="10"/>
        <v>108069.44673227727</v>
      </c>
      <c r="Y9" s="10">
        <f t="shared" si="11"/>
        <v>3788246.8915572623</v>
      </c>
      <c r="Z9" s="10">
        <f t="shared" si="12"/>
        <v>417725.98880613933</v>
      </c>
      <c r="AA9" s="10">
        <f t="shared" si="13"/>
        <v>440122.37969015038</v>
      </c>
      <c r="AB9" s="10">
        <f t="shared" si="14"/>
        <v>590118.98996993469</v>
      </c>
      <c r="AC9" s="10">
        <f t="shared" si="15"/>
        <v>478054.6171739446</v>
      </c>
      <c r="AD9" s="10">
        <f t="shared" si="16"/>
        <v>492484.94573405705</v>
      </c>
      <c r="AE9" s="10">
        <f t="shared" si="17"/>
        <v>695447.22292597638</v>
      </c>
      <c r="AF9" s="10">
        <f t="shared" si="18"/>
        <v>888160.74457060138</v>
      </c>
      <c r="AG9" s="10">
        <f t="shared" si="19"/>
        <v>184215.57824167385</v>
      </c>
      <c r="AH9" s="10">
        <f t="shared" si="20"/>
        <v>14133496.724764725</v>
      </c>
      <c r="AJ9">
        <f t="shared" si="21"/>
        <v>81.950389999999999</v>
      </c>
    </row>
    <row r="10" spans="1:36" x14ac:dyDescent="0.4">
      <c r="A10" s="1" t="s">
        <v>17</v>
      </c>
      <c r="B10" s="8">
        <v>494870.1593833504</v>
      </c>
      <c r="C10" s="8">
        <v>8007.4785298054303</v>
      </c>
      <c r="D10" s="8">
        <v>986.879392857114</v>
      </c>
      <c r="E10" s="8">
        <v>1051.277520557509</v>
      </c>
      <c r="F10" s="8">
        <v>12526.550181310709</v>
      </c>
      <c r="G10" s="8">
        <v>169057.27909380567</v>
      </c>
      <c r="H10" s="8">
        <v>4394.2459956704415</v>
      </c>
      <c r="I10" s="8">
        <v>94376.748585991954</v>
      </c>
      <c r="J10" s="8">
        <v>13623.739097754842</v>
      </c>
      <c r="K10" s="8">
        <v>8758.5756574854495</v>
      </c>
      <c r="L10" s="7" t="s">
        <v>17</v>
      </c>
      <c r="M10" s="8">
        <f t="shared" si="0"/>
        <v>504915.79482657049</v>
      </c>
      <c r="N10" s="8">
        <f t="shared" si="1"/>
        <v>185978.07527078682</v>
      </c>
      <c r="O10" s="8">
        <f t="shared" si="2"/>
        <v>116759.06334123223</v>
      </c>
      <c r="P10" s="9"/>
      <c r="Q10" s="10">
        <f t="shared" si="3"/>
        <v>2127320.8506590463</v>
      </c>
      <c r="R10" s="10">
        <f t="shared" si="4"/>
        <v>742414.43732882629</v>
      </c>
      <c r="S10" s="10">
        <f t="shared" si="5"/>
        <v>538016.68104366527</v>
      </c>
      <c r="T10" s="10">
        <f t="shared" si="6"/>
        <v>693312.43468682806</v>
      </c>
      <c r="U10" s="10">
        <f t="shared" si="7"/>
        <v>319290.9241866279</v>
      </c>
      <c r="V10" s="10">
        <f t="shared" si="8"/>
        <v>328741.44834257406</v>
      </c>
      <c r="W10" s="10">
        <f t="shared" si="9"/>
        <v>249606.53660808998</v>
      </c>
      <c r="X10" s="10">
        <f t="shared" si="10"/>
        <v>89277.887998915816</v>
      </c>
      <c r="Y10" s="10">
        <f t="shared" si="11"/>
        <v>3129530.9814487793</v>
      </c>
      <c r="Z10" s="10">
        <f t="shared" si="12"/>
        <v>345090.08022646152</v>
      </c>
      <c r="AA10" s="10">
        <f t="shared" si="13"/>
        <v>363592.09478637762</v>
      </c>
      <c r="AB10" s="10">
        <f t="shared" si="14"/>
        <v>487506.67913647945</v>
      </c>
      <c r="AC10" s="10">
        <f t="shared" si="15"/>
        <v>394928.51920627803</v>
      </c>
      <c r="AD10" s="10">
        <f t="shared" si="16"/>
        <v>406849.64303851925</v>
      </c>
      <c r="AE10" s="10">
        <f t="shared" si="17"/>
        <v>574520.00685591018</v>
      </c>
      <c r="AF10" s="10">
        <f t="shared" si="18"/>
        <v>733723.71078425471</v>
      </c>
      <c r="AG10" s="10">
        <f t="shared" si="19"/>
        <v>152183.41778558958</v>
      </c>
      <c r="AH10" s="10">
        <f t="shared" si="20"/>
        <v>11675906.334123224</v>
      </c>
      <c r="AJ10">
        <f t="shared" si="21"/>
        <v>67.700519999999997</v>
      </c>
    </row>
    <row r="11" spans="1:36" x14ac:dyDescent="0.4">
      <c r="A11" s="1" t="s">
        <v>18</v>
      </c>
      <c r="B11" s="8">
        <v>230329.07741007191</v>
      </c>
      <c r="C11" s="8">
        <v>3726.9475784299957</v>
      </c>
      <c r="D11" s="8">
        <v>459.32658448235094</v>
      </c>
      <c r="E11" s="8">
        <v>489.29962096256799</v>
      </c>
      <c r="F11" s="8">
        <v>5830.2742480724664</v>
      </c>
      <c r="G11" s="8">
        <v>78684.896199145063</v>
      </c>
      <c r="H11" s="8">
        <v>2045.2286461500628</v>
      </c>
      <c r="I11" s="8">
        <v>43926.086506935157</v>
      </c>
      <c r="J11" s="8">
        <v>6340.9425639475576</v>
      </c>
      <c r="K11" s="8">
        <v>4076.5332327346841</v>
      </c>
      <c r="L11" s="7" t="s">
        <v>18</v>
      </c>
      <c r="M11" s="8">
        <f t="shared" si="0"/>
        <v>235004.65119394683</v>
      </c>
      <c r="N11" s="8">
        <f t="shared" si="1"/>
        <v>86560.399093367596</v>
      </c>
      <c r="O11" s="8">
        <f t="shared" si="2"/>
        <v>54343.5623036174</v>
      </c>
      <c r="P11" s="9"/>
      <c r="Q11" s="10">
        <f t="shared" si="3"/>
        <v>990126.07569239673</v>
      </c>
      <c r="R11" s="10">
        <f t="shared" si="4"/>
        <v>345544.44062447833</v>
      </c>
      <c r="S11" s="10">
        <f t="shared" si="5"/>
        <v>250410.90764177853</v>
      </c>
      <c r="T11" s="10">
        <f t="shared" si="6"/>
        <v>322690.7309128014</v>
      </c>
      <c r="U11" s="10">
        <f t="shared" si="7"/>
        <v>148608.64531608592</v>
      </c>
      <c r="V11" s="10">
        <f t="shared" si="8"/>
        <v>153007.2344583229</v>
      </c>
      <c r="W11" s="10">
        <f t="shared" si="9"/>
        <v>116175.20717778603</v>
      </c>
      <c r="X11" s="10">
        <f t="shared" si="10"/>
        <v>41552.906729178416</v>
      </c>
      <c r="Y11" s="10">
        <f t="shared" si="11"/>
        <v>1456588.0969293821</v>
      </c>
      <c r="Z11" s="10">
        <f t="shared" si="12"/>
        <v>160616.43300734207</v>
      </c>
      <c r="AA11" s="10">
        <f t="shared" si="13"/>
        <v>169227.88767481173</v>
      </c>
      <c r="AB11" s="10">
        <f t="shared" si="14"/>
        <v>226901.86811157141</v>
      </c>
      <c r="AC11" s="10">
        <f t="shared" si="15"/>
        <v>183812.90475274579</v>
      </c>
      <c r="AD11" s="10">
        <f t="shared" si="16"/>
        <v>189361.39338538592</v>
      </c>
      <c r="AE11" s="10">
        <f t="shared" si="17"/>
        <v>267400.77295758267</v>
      </c>
      <c r="AF11" s="10">
        <f t="shared" si="18"/>
        <v>341499.48663184175</v>
      </c>
      <c r="AG11" s="10">
        <f t="shared" si="19"/>
        <v>70831.238358248229</v>
      </c>
      <c r="AH11" s="10">
        <f t="shared" si="20"/>
        <v>5434356.230361741</v>
      </c>
      <c r="AJ11">
        <f t="shared" si="21"/>
        <v>31.510079999999995</v>
      </c>
    </row>
    <row r="12" spans="1:36" x14ac:dyDescent="0.4">
      <c r="A12" s="1" t="s">
        <v>19</v>
      </c>
      <c r="B12" s="8">
        <v>121673.16431997258</v>
      </c>
      <c r="C12" s="8">
        <v>1968.789656179152</v>
      </c>
      <c r="D12" s="8">
        <v>242.64291603422618</v>
      </c>
      <c r="E12" s="8">
        <v>258.47641058833801</v>
      </c>
      <c r="F12" s="8">
        <v>3079.8886731667403</v>
      </c>
      <c r="G12" s="8">
        <v>41565.92130004301</v>
      </c>
      <c r="H12" s="8">
        <v>1080.4082746872925</v>
      </c>
      <c r="I12" s="8">
        <v>23204.304040067935</v>
      </c>
      <c r="J12" s="8">
        <v>3349.6532665439399</v>
      </c>
      <c r="K12" s="8">
        <v>2153.4610543300287</v>
      </c>
      <c r="L12" s="7" t="s">
        <v>19</v>
      </c>
      <c r="M12" s="8">
        <f t="shared" si="0"/>
        <v>124143.0733027743</v>
      </c>
      <c r="N12" s="8">
        <f t="shared" si="1"/>
        <v>45726.218247897043</v>
      </c>
      <c r="O12" s="8">
        <f t="shared" si="2"/>
        <v>28707.418360941905</v>
      </c>
      <c r="P12" s="9"/>
      <c r="Q12" s="10">
        <f t="shared" si="3"/>
        <v>523041.96265556948</v>
      </c>
      <c r="R12" s="10">
        <f t="shared" si="4"/>
        <v>182536.59493066103</v>
      </c>
      <c r="S12" s="10">
        <f t="shared" si="5"/>
        <v>132281.55062144692</v>
      </c>
      <c r="T12" s="10">
        <f t="shared" si="6"/>
        <v>170463.94128077399</v>
      </c>
      <c r="U12" s="10">
        <f t="shared" si="7"/>
        <v>78503.697076511482</v>
      </c>
      <c r="V12" s="10">
        <f t="shared" si="8"/>
        <v>80827.286722670688</v>
      </c>
      <c r="W12" s="10">
        <f t="shared" si="9"/>
        <v>61370.475807026778</v>
      </c>
      <c r="X12" s="10">
        <f t="shared" si="10"/>
        <v>21950.652975657405</v>
      </c>
      <c r="Y12" s="10">
        <f t="shared" si="11"/>
        <v>769454.22982211364</v>
      </c>
      <c r="Z12" s="10">
        <f t="shared" si="12"/>
        <v>84846.906285292265</v>
      </c>
      <c r="AA12" s="10">
        <f t="shared" si="13"/>
        <v>89395.975601988161</v>
      </c>
      <c r="AB12" s="10">
        <f t="shared" si="14"/>
        <v>119862.71379056342</v>
      </c>
      <c r="AC12" s="10">
        <f t="shared" si="15"/>
        <v>97100.626701569534</v>
      </c>
      <c r="AD12" s="10">
        <f t="shared" si="16"/>
        <v>100031.65988555955</v>
      </c>
      <c r="AE12" s="10">
        <f t="shared" si="17"/>
        <v>141256.5819009915</v>
      </c>
      <c r="AF12" s="10">
        <f t="shared" si="18"/>
        <v>180399.81586070205</v>
      </c>
      <c r="AG12" s="10">
        <f t="shared" si="19"/>
        <v>37417.164175092643</v>
      </c>
      <c r="AH12" s="10">
        <f t="shared" si="20"/>
        <v>2870741.8360941913</v>
      </c>
      <c r="AJ12">
        <f t="shared" si="21"/>
        <v>16.64545</v>
      </c>
    </row>
    <row r="13" spans="1:36" x14ac:dyDescent="0.4">
      <c r="A13" s="1" t="s">
        <v>20</v>
      </c>
      <c r="B13" s="8">
        <v>76012.495998629674</v>
      </c>
      <c r="C13" s="8">
        <v>1229.9558139945234</v>
      </c>
      <c r="D13" s="8">
        <v>151.58555123662461</v>
      </c>
      <c r="E13" s="8">
        <v>161.47716084639615</v>
      </c>
      <c r="F13" s="8">
        <v>1924.0892332647475</v>
      </c>
      <c r="G13" s="8">
        <v>25967.348216489507</v>
      </c>
      <c r="H13" s="8">
        <v>674.96008767048659</v>
      </c>
      <c r="I13" s="8">
        <v>14496.352403215344</v>
      </c>
      <c r="J13" s="8">
        <v>2092.6184252953881</v>
      </c>
      <c r="K13" s="8">
        <v>1345.3249998906826</v>
      </c>
      <c r="L13" s="7" t="s">
        <v>20</v>
      </c>
      <c r="M13" s="8">
        <f t="shared" si="0"/>
        <v>77555.514524707221</v>
      </c>
      <c r="N13" s="8">
        <f t="shared" si="1"/>
        <v>28566.397537424742</v>
      </c>
      <c r="O13" s="8">
        <f t="shared" si="2"/>
        <v>17934.295828401417</v>
      </c>
      <c r="P13" s="9"/>
      <c r="Q13" s="10">
        <f t="shared" si="3"/>
        <v>326758.37203442957</v>
      </c>
      <c r="R13" s="10">
        <f t="shared" si="4"/>
        <v>114035.51694671239</v>
      </c>
      <c r="S13" s="10">
        <f t="shared" si="5"/>
        <v>82639.840046099067</v>
      </c>
      <c r="T13" s="10">
        <f t="shared" si="6"/>
        <v>106493.40573111508</v>
      </c>
      <c r="U13" s="10">
        <f t="shared" si="7"/>
        <v>49043.36953227772</v>
      </c>
      <c r="V13" s="10">
        <f t="shared" si="8"/>
        <v>50494.978436083809</v>
      </c>
      <c r="W13" s="10">
        <f t="shared" si="9"/>
        <v>38339.78571024866</v>
      </c>
      <c r="X13" s="10">
        <f t="shared" si="10"/>
        <v>13713.162888503752</v>
      </c>
      <c r="Y13" s="10">
        <f t="shared" si="11"/>
        <v>480698.73823345028</v>
      </c>
      <c r="Z13" s="10">
        <f t="shared" si="12"/>
        <v>53006.142813433966</v>
      </c>
      <c r="AA13" s="10">
        <f t="shared" si="13"/>
        <v>55848.068682342055</v>
      </c>
      <c r="AB13" s="10">
        <f t="shared" si="14"/>
        <v>74881.458892858907</v>
      </c>
      <c r="AC13" s="10">
        <f t="shared" si="15"/>
        <v>60661.371304583743</v>
      </c>
      <c r="AD13" s="10">
        <f t="shared" si="16"/>
        <v>62492.466512923944</v>
      </c>
      <c r="AE13" s="10">
        <f t="shared" si="17"/>
        <v>88246.783311171792</v>
      </c>
      <c r="AF13" s="10">
        <f t="shared" si="18"/>
        <v>112700.61363082526</v>
      </c>
      <c r="AG13" s="10">
        <f t="shared" si="19"/>
        <v>23375.508133081647</v>
      </c>
      <c r="AH13" s="10">
        <f t="shared" si="20"/>
        <v>1793429.5828401411</v>
      </c>
      <c r="AJ13">
        <f t="shared" si="21"/>
        <v>10.398860000000001</v>
      </c>
    </row>
    <row r="14" spans="1:36" x14ac:dyDescent="0.4">
      <c r="A14" s="1" t="s">
        <v>21</v>
      </c>
      <c r="B14" s="8">
        <v>55608.359287427193</v>
      </c>
      <c r="C14" s="8">
        <v>899.79711774627742</v>
      </c>
      <c r="D14" s="8">
        <v>110.89523748964761</v>
      </c>
      <c r="E14" s="8">
        <v>118.13162900507763</v>
      </c>
      <c r="F14" s="8">
        <v>1407.6033680881269</v>
      </c>
      <c r="G14" s="8">
        <v>18996.897949388644</v>
      </c>
      <c r="H14" s="8">
        <v>493.77964197531963</v>
      </c>
      <c r="I14" s="8">
        <v>10605.076996941267</v>
      </c>
      <c r="J14" s="8">
        <v>1530.8940420455856</v>
      </c>
      <c r="K14" s="8">
        <v>984.19759763746879</v>
      </c>
      <c r="L14" s="7" t="s">
        <v>21</v>
      </c>
      <c r="M14" s="8">
        <f t="shared" si="0"/>
        <v>56737.183271668189</v>
      </c>
      <c r="N14" s="8">
        <f t="shared" si="1"/>
        <v>20898.280959452091</v>
      </c>
      <c r="O14" s="8">
        <f t="shared" si="2"/>
        <v>13120.168636624321</v>
      </c>
      <c r="P14" s="9"/>
      <c r="Q14" s="10">
        <f t="shared" si="3"/>
        <v>239046.18199345717</v>
      </c>
      <c r="R14" s="10">
        <f t="shared" si="4"/>
        <v>83424.809494673013</v>
      </c>
      <c r="S14" s="10">
        <f t="shared" si="5"/>
        <v>60456.716443331061</v>
      </c>
      <c r="T14" s="10">
        <f t="shared" si="6"/>
        <v>77907.237354031429</v>
      </c>
      <c r="U14" s="10">
        <f t="shared" si="7"/>
        <v>35878.591773464788</v>
      </c>
      <c r="V14" s="10">
        <f t="shared" si="8"/>
        <v>36940.543343495228</v>
      </c>
      <c r="W14" s="10">
        <f t="shared" si="9"/>
        <v>28048.185377532001</v>
      </c>
      <c r="X14" s="10">
        <f t="shared" si="10"/>
        <v>10032.120098841075</v>
      </c>
      <c r="Y14" s="10">
        <f t="shared" si="11"/>
        <v>351664.12829254434</v>
      </c>
      <c r="Z14" s="10">
        <f t="shared" si="12"/>
        <v>38777.632483785972</v>
      </c>
      <c r="AA14" s="10">
        <f t="shared" si="13"/>
        <v>40856.696362826646</v>
      </c>
      <c r="AB14" s="10">
        <f t="shared" si="14"/>
        <v>54780.927995784754</v>
      </c>
      <c r="AC14" s="10">
        <f t="shared" si="15"/>
        <v>44377.957677302576</v>
      </c>
      <c r="AD14" s="10">
        <f t="shared" si="16"/>
        <v>45717.529531865854</v>
      </c>
      <c r="AE14" s="10">
        <f t="shared" si="17"/>
        <v>64558.580373624907</v>
      </c>
      <c r="AF14" s="10">
        <f t="shared" si="18"/>
        <v>82448.236074361077</v>
      </c>
      <c r="AG14" s="10">
        <f t="shared" si="19"/>
        <v>17100.788991510217</v>
      </c>
      <c r="AH14" s="10">
        <f t="shared" si="20"/>
        <v>1312016.8636624319</v>
      </c>
      <c r="AJ14">
        <f t="shared" si="21"/>
        <v>7.6074799999999998</v>
      </c>
    </row>
    <row r="15" spans="1:36" x14ac:dyDescent="0.4">
      <c r="A15" s="1" t="s">
        <v>22</v>
      </c>
      <c r="B15" s="8">
        <v>42470.790476190472</v>
      </c>
      <c r="C15" s="8">
        <v>687.21852880709798</v>
      </c>
      <c r="D15" s="8">
        <v>84.69605031657666</v>
      </c>
      <c r="E15" s="8">
        <v>90.222832113301919</v>
      </c>
      <c r="F15" s="8">
        <v>1075.0546947564287</v>
      </c>
      <c r="G15" s="8">
        <v>14508.848720672009</v>
      </c>
      <c r="H15" s="8">
        <v>377.12336750211665</v>
      </c>
      <c r="I15" s="8">
        <v>8099.6096430918187</v>
      </c>
      <c r="J15" s="8">
        <v>1169.2177387378292</v>
      </c>
      <c r="K15" s="8">
        <v>751.67925276086453</v>
      </c>
      <c r="L15" s="7" t="s">
        <v>22</v>
      </c>
      <c r="M15" s="8">
        <f t="shared" si="0"/>
        <v>43332.927887427446</v>
      </c>
      <c r="N15" s="8">
        <f t="shared" si="1"/>
        <v>15961.026782930554</v>
      </c>
      <c r="O15" s="8">
        <f t="shared" si="2"/>
        <v>10020.506634590512</v>
      </c>
      <c r="P15" s="9"/>
      <c r="Q15" s="10">
        <f t="shared" si="3"/>
        <v>182571.11771813856</v>
      </c>
      <c r="R15" s="10">
        <f t="shared" si="4"/>
        <v>63715.557336456899</v>
      </c>
      <c r="S15" s="10">
        <f t="shared" si="5"/>
        <v>46173.715064520991</v>
      </c>
      <c r="T15" s="10">
        <f t="shared" si="6"/>
        <v>59501.52093392206</v>
      </c>
      <c r="U15" s="10">
        <f t="shared" si="7"/>
        <v>27402.213863485034</v>
      </c>
      <c r="V15" s="10">
        <f t="shared" si="8"/>
        <v>28213.277581324695</v>
      </c>
      <c r="W15" s="10">
        <f t="shared" si="9"/>
        <v>21421.754205142366</v>
      </c>
      <c r="X15" s="10">
        <f t="shared" si="10"/>
        <v>7662.0147799647739</v>
      </c>
      <c r="Y15" s="10">
        <f t="shared" si="11"/>
        <v>268582.88397805073</v>
      </c>
      <c r="Z15" s="10">
        <f t="shared" si="12"/>
        <v>29616.351309144848</v>
      </c>
      <c r="AA15" s="10">
        <f t="shared" si="13"/>
        <v>31204.232834959195</v>
      </c>
      <c r="AB15" s="10">
        <f t="shared" si="14"/>
        <v>41838.841224835101</v>
      </c>
      <c r="AC15" s="10">
        <f t="shared" si="15"/>
        <v>33893.590216032564</v>
      </c>
      <c r="AD15" s="10">
        <f t="shared" si="16"/>
        <v>34916.685957248264</v>
      </c>
      <c r="AE15" s="10">
        <f t="shared" si="17"/>
        <v>49306.50671271373</v>
      </c>
      <c r="AF15" s="10">
        <f t="shared" si="18"/>
        <v>62969.701036250204</v>
      </c>
      <c r="AG15" s="10">
        <f t="shared" si="19"/>
        <v>13060.698706861229</v>
      </c>
      <c r="AH15" s="10">
        <f t="shared" si="20"/>
        <v>1002050.6634590513</v>
      </c>
      <c r="AJ15">
        <f t="shared" si="21"/>
        <v>5.8102</v>
      </c>
    </row>
    <row r="16" spans="1:36" x14ac:dyDescent="0.4">
      <c r="A16" s="1" t="s">
        <v>23</v>
      </c>
      <c r="B16" s="8">
        <v>32081.959410757107</v>
      </c>
      <c r="C16" s="8">
        <v>519.11717913207815</v>
      </c>
      <c r="D16" s="8">
        <v>63.978447729414178</v>
      </c>
      <c r="E16" s="8">
        <v>68.153316793225287</v>
      </c>
      <c r="F16" s="8">
        <v>812.08427474065866</v>
      </c>
      <c r="G16" s="8">
        <v>10959.821810106472</v>
      </c>
      <c r="H16" s="8">
        <v>284.87476765551787</v>
      </c>
      <c r="I16" s="8">
        <v>6118.3544007339278</v>
      </c>
      <c r="J16" s="8">
        <v>883.21398344476665</v>
      </c>
      <c r="K16" s="8">
        <v>567.81008798274138</v>
      </c>
      <c r="L16" s="7" t="s">
        <v>23</v>
      </c>
      <c r="M16" s="8">
        <f t="shared" si="0"/>
        <v>32733.208354411821</v>
      </c>
      <c r="N16" s="8">
        <f t="shared" si="1"/>
        <v>12056.780852502648</v>
      </c>
      <c r="O16" s="8">
        <f t="shared" si="2"/>
        <v>7569.3784721614356</v>
      </c>
      <c r="P16" s="9"/>
      <c r="Q16" s="10">
        <f t="shared" si="3"/>
        <v>137912.17734676972</v>
      </c>
      <c r="R16" s="10">
        <f t="shared" si="4"/>
        <v>48130.018334552318</v>
      </c>
      <c r="S16" s="10">
        <f t="shared" si="5"/>
        <v>34879.107168355658</v>
      </c>
      <c r="T16" s="10">
        <f t="shared" si="6"/>
        <v>44946.782437462833</v>
      </c>
      <c r="U16" s="10">
        <f t="shared" si="7"/>
        <v>20699.325420515863</v>
      </c>
      <c r="V16" s="10">
        <f t="shared" si="8"/>
        <v>21311.993868254249</v>
      </c>
      <c r="W16" s="10">
        <f t="shared" si="9"/>
        <v>16181.753181680773</v>
      </c>
      <c r="X16" s="10">
        <f t="shared" si="10"/>
        <v>5787.8001426240389</v>
      </c>
      <c r="Y16" s="10">
        <f t="shared" si="11"/>
        <v>202884.5021624566</v>
      </c>
      <c r="Z16" s="10">
        <f t="shared" si="12"/>
        <v>22371.860046432888</v>
      </c>
      <c r="AA16" s="10">
        <f t="shared" si="13"/>
        <v>23571.327965185796</v>
      </c>
      <c r="AB16" s="10">
        <f t="shared" si="14"/>
        <v>31604.592024741363</v>
      </c>
      <c r="AC16" s="10">
        <f t="shared" si="15"/>
        <v>25602.83840737983</v>
      </c>
      <c r="AD16" s="10">
        <f t="shared" si="16"/>
        <v>26375.673470607606</v>
      </c>
      <c r="AE16" s="10">
        <f t="shared" si="17"/>
        <v>37245.582889028272</v>
      </c>
      <c r="AF16" s="10">
        <f t="shared" si="18"/>
        <v>47566.606839706154</v>
      </c>
      <c r="AG16" s="10">
        <f t="shared" si="19"/>
        <v>9865.9055103896007</v>
      </c>
      <c r="AH16" s="10">
        <f t="shared" si="20"/>
        <v>756937.84721614351</v>
      </c>
      <c r="AJ16">
        <f t="shared" si="21"/>
        <v>4.38896</v>
      </c>
    </row>
    <row r="17" spans="1:36" x14ac:dyDescent="0.4">
      <c r="A17" s="1" t="s">
        <v>24</v>
      </c>
      <c r="B17" s="8">
        <v>32132.323210003426</v>
      </c>
      <c r="C17" s="8">
        <v>519.93211418826922</v>
      </c>
      <c r="D17" s="8">
        <v>64.078884166487128</v>
      </c>
      <c r="E17" s="8">
        <v>68.260307140074048</v>
      </c>
      <c r="F17" s="8">
        <v>813.35912360074474</v>
      </c>
      <c r="G17" s="8">
        <v>10977.027064260448</v>
      </c>
      <c r="H17" s="8">
        <v>285.32197773470443</v>
      </c>
      <c r="I17" s="8">
        <v>6127.9592870443657</v>
      </c>
      <c r="J17" s="8">
        <v>884.60049513453703</v>
      </c>
      <c r="K17" s="8">
        <v>568.7014635036395</v>
      </c>
      <c r="L17" s="7" t="s">
        <v>24</v>
      </c>
      <c r="M17" s="8">
        <f t="shared" si="0"/>
        <v>32784.594515498255</v>
      </c>
      <c r="N17" s="8">
        <f t="shared" si="1"/>
        <v>12075.708165595897</v>
      </c>
      <c r="O17" s="8">
        <f t="shared" si="2"/>
        <v>7581.2612456825418</v>
      </c>
      <c r="P17" s="9"/>
      <c r="Q17" s="10">
        <f t="shared" si="3"/>
        <v>138128.67850009972</v>
      </c>
      <c r="R17" s="10">
        <f t="shared" si="4"/>
        <v>48205.57514671854</v>
      </c>
      <c r="S17" s="10">
        <f t="shared" si="5"/>
        <v>34933.862064365188</v>
      </c>
      <c r="T17" s="10">
        <f t="shared" si="6"/>
        <v>45017.342053179113</v>
      </c>
      <c r="U17" s="10">
        <f t="shared" si="7"/>
        <v>20731.820214760366</v>
      </c>
      <c r="V17" s="10">
        <f t="shared" si="8"/>
        <v>21345.450458825198</v>
      </c>
      <c r="W17" s="10">
        <f t="shared" si="9"/>
        <v>16207.156074261655</v>
      </c>
      <c r="X17" s="10">
        <f t="shared" si="10"/>
        <v>5796.8861089993716</v>
      </c>
      <c r="Y17" s="10">
        <f t="shared" si="11"/>
        <v>203202.99998879802</v>
      </c>
      <c r="Z17" s="10">
        <f t="shared" si="12"/>
        <v>22406.980465785065</v>
      </c>
      <c r="AA17" s="10">
        <f t="shared" si="13"/>
        <v>23608.331366829949</v>
      </c>
      <c r="AB17" s="10">
        <f t="shared" si="14"/>
        <v>31654.206429759972</v>
      </c>
      <c r="AC17" s="10">
        <f t="shared" si="15"/>
        <v>25643.030971592503</v>
      </c>
      <c r="AD17" s="10">
        <f t="shared" si="16"/>
        <v>26417.07926838487</v>
      </c>
      <c r="AE17" s="10">
        <f t="shared" si="17"/>
        <v>37304.052792172843</v>
      </c>
      <c r="AF17" s="10">
        <f t="shared" si="18"/>
        <v>47641.279181474041</v>
      </c>
      <c r="AG17" s="10">
        <f t="shared" si="19"/>
        <v>9881.3934822477604</v>
      </c>
      <c r="AH17" s="10">
        <f t="shared" si="20"/>
        <v>758126.1245682541</v>
      </c>
      <c r="AJ17">
        <f t="shared" si="21"/>
        <v>4.3958500000000003</v>
      </c>
    </row>
    <row r="18" spans="1:36" x14ac:dyDescent="0.4">
      <c r="A18" s="1" t="s">
        <v>25</v>
      </c>
      <c r="B18" s="8">
        <v>33757.049140116476</v>
      </c>
      <c r="C18" s="8">
        <v>546.22175351186456</v>
      </c>
      <c r="D18" s="8">
        <v>67.318943218475951</v>
      </c>
      <c r="E18" s="8">
        <v>71.711793989721841</v>
      </c>
      <c r="F18" s="8">
        <v>854.48548878671272</v>
      </c>
      <c r="G18" s="8">
        <v>11532.065067279926</v>
      </c>
      <c r="H18" s="8">
        <v>299.74888401928933</v>
      </c>
      <c r="I18" s="8">
        <v>6437.8109677730872</v>
      </c>
      <c r="J18" s="8">
        <v>929.32908051701224</v>
      </c>
      <c r="K18" s="8">
        <v>597.45705668651749</v>
      </c>
      <c r="L18" s="7" t="s">
        <v>25</v>
      </c>
      <c r="M18" s="8">
        <f t="shared" si="0"/>
        <v>34442.301630836533</v>
      </c>
      <c r="N18" s="8">
        <f t="shared" si="1"/>
        <v>12686.299440085928</v>
      </c>
      <c r="O18" s="8">
        <f t="shared" si="2"/>
        <v>7964.5971049766167</v>
      </c>
      <c r="P18" s="9"/>
      <c r="Q18" s="10">
        <f t="shared" si="3"/>
        <v>145112.96171499949</v>
      </c>
      <c r="R18" s="10">
        <f t="shared" si="4"/>
        <v>50643.022554583033</v>
      </c>
      <c r="S18" s="10">
        <f t="shared" si="5"/>
        <v>36700.243883819094</v>
      </c>
      <c r="T18" s="10">
        <f t="shared" si="6"/>
        <v>47293.580918963919</v>
      </c>
      <c r="U18" s="10">
        <f t="shared" si="7"/>
        <v>21780.095674372227</v>
      </c>
      <c r="V18" s="10">
        <f t="shared" si="8"/>
        <v>22424.753272497885</v>
      </c>
      <c r="W18" s="10">
        <f t="shared" si="9"/>
        <v>17026.648227230053</v>
      </c>
      <c r="X18" s="10">
        <f t="shared" si="10"/>
        <v>6089.9975380625319</v>
      </c>
      <c r="Y18" s="10">
        <f t="shared" si="11"/>
        <v>213477.67515003195</v>
      </c>
      <c r="Z18" s="10">
        <f t="shared" si="12"/>
        <v>23539.958057861695</v>
      </c>
      <c r="AA18" s="10">
        <f t="shared" si="13"/>
        <v>24802.053585036963</v>
      </c>
      <c r="AB18" s="10">
        <f t="shared" si="14"/>
        <v>33254.757054358801</v>
      </c>
      <c r="AC18" s="10">
        <f t="shared" si="15"/>
        <v>26939.634926244245</v>
      </c>
      <c r="AD18" s="10">
        <f t="shared" si="16"/>
        <v>27752.821891309653</v>
      </c>
      <c r="AE18" s="10">
        <f t="shared" si="17"/>
        <v>39190.279986939786</v>
      </c>
      <c r="AF18" s="10">
        <f t="shared" si="18"/>
        <v>50050.193754006366</v>
      </c>
      <c r="AG18" s="10">
        <f t="shared" si="19"/>
        <v>10381.032307343978</v>
      </c>
      <c r="AH18" s="10">
        <f t="shared" si="20"/>
        <v>796459.71049766184</v>
      </c>
      <c r="AJ18">
        <f t="shared" si="21"/>
        <v>4.6181200000000002</v>
      </c>
    </row>
    <row r="19" spans="1:36" x14ac:dyDescent="0.4">
      <c r="A19" s="1" t="s">
        <v>26</v>
      </c>
      <c r="B19" s="8">
        <v>29760.546440561837</v>
      </c>
      <c r="C19" s="8">
        <v>481.55446866108616</v>
      </c>
      <c r="D19" s="8">
        <v>59.349042259802395</v>
      </c>
      <c r="E19" s="8">
        <v>63.221822692756739</v>
      </c>
      <c r="F19" s="8">
        <v>753.32280870493764</v>
      </c>
      <c r="G19" s="8">
        <v>10166.781953180547</v>
      </c>
      <c r="H19" s="8">
        <v>264.26156345405803</v>
      </c>
      <c r="I19" s="8">
        <v>5675.6374494322345</v>
      </c>
      <c r="J19" s="8">
        <v>819.30565507941617</v>
      </c>
      <c r="K19" s="8">
        <v>526.72401571469641</v>
      </c>
      <c r="L19" s="7" t="s">
        <v>26</v>
      </c>
      <c r="M19" s="8">
        <f t="shared" si="0"/>
        <v>30364.67177417548</v>
      </c>
      <c r="N19" s="8">
        <f t="shared" si="1"/>
        <v>11184.366325339543</v>
      </c>
      <c r="O19" s="8">
        <f t="shared" si="2"/>
        <v>7021.6671202263469</v>
      </c>
      <c r="P19" s="8"/>
      <c r="Q19" s="10">
        <f t="shared" si="3"/>
        <v>127933.01388166931</v>
      </c>
      <c r="R19" s="10">
        <f t="shared" si="4"/>
        <v>44647.386635314433</v>
      </c>
      <c r="S19" s="10">
        <f t="shared" si="5"/>
        <v>32355.295865785942</v>
      </c>
      <c r="T19" s="10">
        <f t="shared" si="6"/>
        <v>41694.485955724689</v>
      </c>
      <c r="U19" s="10">
        <f t="shared" si="7"/>
        <v>19201.546500897679</v>
      </c>
      <c r="V19" s="10">
        <f t="shared" si="8"/>
        <v>19769.88297804787</v>
      </c>
      <c r="W19" s="10">
        <f t="shared" si="9"/>
        <v>15010.860492880198</v>
      </c>
      <c r="X19" s="10">
        <f t="shared" si="10"/>
        <v>5369.0017098986227</v>
      </c>
      <c r="Y19" s="10">
        <f t="shared" si="11"/>
        <v>188204.01744699944</v>
      </c>
      <c r="Z19" s="10">
        <f t="shared" si="12"/>
        <v>20753.058482156579</v>
      </c>
      <c r="AA19" s="10">
        <f t="shared" si="13"/>
        <v>21865.734308560146</v>
      </c>
      <c r="AB19" s="10">
        <f t="shared" si="14"/>
        <v>29317.720798934486</v>
      </c>
      <c r="AC19" s="10">
        <f t="shared" si="15"/>
        <v>23750.247036892135</v>
      </c>
      <c r="AD19" s="10">
        <f t="shared" si="16"/>
        <v>24467.160661013637</v>
      </c>
      <c r="AE19" s="10">
        <f t="shared" si="17"/>
        <v>34550.536177757807</v>
      </c>
      <c r="AF19" s="10">
        <f t="shared" si="18"/>
        <v>44124.742935693845</v>
      </c>
      <c r="AG19" s="10">
        <f t="shared" si="19"/>
        <v>9152.0201544078809</v>
      </c>
      <c r="AH19" s="10">
        <f t="shared" si="20"/>
        <v>702166.71202263469</v>
      </c>
      <c r="AJ19">
        <f t="shared" si="21"/>
        <v>4.0713800000000004</v>
      </c>
    </row>
    <row r="20" spans="1:36" x14ac:dyDescent="0.4">
      <c r="A20" s="1" t="s">
        <v>27</v>
      </c>
      <c r="B20" s="8">
        <v>28873.734230900991</v>
      </c>
      <c r="C20" s="8">
        <v>467.20498810708159</v>
      </c>
      <c r="D20" s="8">
        <v>57.580544647946162</v>
      </c>
      <c r="E20" s="8">
        <v>61.337923000493852</v>
      </c>
      <c r="F20" s="8">
        <v>730.87510715114433</v>
      </c>
      <c r="G20" s="8">
        <v>9863.8296405593064</v>
      </c>
      <c r="H20" s="8">
        <v>256.38703126147311</v>
      </c>
      <c r="I20" s="8">
        <v>5506.5133845291502</v>
      </c>
      <c r="J20" s="8">
        <v>794.89178015881555</v>
      </c>
      <c r="K20" s="8">
        <v>511.0285616950502</v>
      </c>
      <c r="L20" s="7" t="s">
        <v>27</v>
      </c>
      <c r="M20" s="8">
        <f t="shared" si="0"/>
        <v>29459.857686656513</v>
      </c>
      <c r="N20" s="8">
        <f t="shared" si="1"/>
        <v>10851.091778971924</v>
      </c>
      <c r="O20" s="8">
        <f t="shared" si="2"/>
        <v>6812.4337263830166</v>
      </c>
      <c r="P20" s="8"/>
      <c r="Q20" s="10">
        <f t="shared" si="3"/>
        <v>124120.83392201825</v>
      </c>
      <c r="R20" s="10">
        <f t="shared" si="4"/>
        <v>43316.972636474646</v>
      </c>
      <c r="S20" s="10">
        <f t="shared" si="5"/>
        <v>31391.164663481773</v>
      </c>
      <c r="T20" s="10">
        <f t="shared" si="6"/>
        <v>40452.063230224121</v>
      </c>
      <c r="U20" s="10">
        <f t="shared" si="7"/>
        <v>18629.374013561959</v>
      </c>
      <c r="V20" s="10">
        <f t="shared" si="8"/>
        <v>19180.775058154184</v>
      </c>
      <c r="W20" s="10">
        <f t="shared" si="9"/>
        <v>14563.563115824698</v>
      </c>
      <c r="X20" s="10">
        <f t="shared" si="10"/>
        <v>5209.01485349001</v>
      </c>
      <c r="Y20" s="10">
        <f t="shared" si="11"/>
        <v>182595.86704181251</v>
      </c>
      <c r="Z20" s="10">
        <f t="shared" si="12"/>
        <v>20134.653652576624</v>
      </c>
      <c r="AA20" s="10">
        <f t="shared" si="13"/>
        <v>21214.173686286002</v>
      </c>
      <c r="AB20" s="10">
        <f t="shared" si="14"/>
        <v>28444.104018548787</v>
      </c>
      <c r="AC20" s="10">
        <f t="shared" si="15"/>
        <v>23042.531232787445</v>
      </c>
      <c r="AD20" s="10">
        <f t="shared" si="16"/>
        <v>23738.082085347851</v>
      </c>
      <c r="AE20" s="10">
        <f t="shared" si="17"/>
        <v>33520.99065533407</v>
      </c>
      <c r="AF20" s="10">
        <f t="shared" si="18"/>
        <v>42809.90280459373</v>
      </c>
      <c r="AG20" s="10">
        <f t="shared" si="19"/>
        <v>8879.305967784976</v>
      </c>
      <c r="AH20" s="10">
        <f t="shared" si="20"/>
        <v>681243.37263830146</v>
      </c>
      <c r="AJ20">
        <f t="shared" si="21"/>
        <v>3.9500599999999997</v>
      </c>
    </row>
    <row r="21" spans="1:36" x14ac:dyDescent="0.4">
      <c r="A21" s="1" t="s">
        <v>28</v>
      </c>
      <c r="B21" s="8">
        <v>27969.744237752653</v>
      </c>
      <c r="C21" s="8">
        <v>452.57755437716281</v>
      </c>
      <c r="D21" s="8">
        <v>55.777790776710908</v>
      </c>
      <c r="E21" s="8">
        <v>59.417531680495905</v>
      </c>
      <c r="F21" s="8">
        <v>707.99258777134196</v>
      </c>
      <c r="G21" s="8">
        <v>9555.0090627331538</v>
      </c>
      <c r="H21" s="8">
        <v>248.35996732925273</v>
      </c>
      <c r="I21" s="8">
        <v>5334.1133424374548</v>
      </c>
      <c r="J21" s="8">
        <v>770.00500212196528</v>
      </c>
      <c r="K21" s="8">
        <v>495.02908264287709</v>
      </c>
      <c r="L21" s="7" t="s">
        <v>28</v>
      </c>
      <c r="M21" s="8">
        <f t="shared" si="0"/>
        <v>28537.517114587026</v>
      </c>
      <c r="N21" s="8">
        <f t="shared" si="1"/>
        <v>10511.361617833747</v>
      </c>
      <c r="O21" s="8">
        <f t="shared" si="2"/>
        <v>6599.147427202297</v>
      </c>
      <c r="P21" s="8"/>
      <c r="Q21" s="10">
        <f t="shared" si="3"/>
        <v>120234.81104359715</v>
      </c>
      <c r="R21" s="10">
        <f t="shared" si="4"/>
        <v>41960.788171946799</v>
      </c>
      <c r="S21" s="10">
        <f t="shared" si="5"/>
        <v>30408.357988663462</v>
      </c>
      <c r="T21" s="10">
        <f t="shared" si="6"/>
        <v>39185.574452919005</v>
      </c>
      <c r="U21" s="10">
        <f t="shared" si="7"/>
        <v>18046.118396113816</v>
      </c>
      <c r="V21" s="10">
        <f t="shared" si="8"/>
        <v>18580.255964408279</v>
      </c>
      <c r="W21" s="10">
        <f t="shared" si="9"/>
        <v>14107.601472068893</v>
      </c>
      <c r="X21" s="10">
        <f t="shared" si="10"/>
        <v>5045.9290100012749</v>
      </c>
      <c r="Y21" s="10">
        <f t="shared" si="11"/>
        <v>176879.08530253233</v>
      </c>
      <c r="Z21" s="10">
        <f t="shared" si="12"/>
        <v>19504.270160372922</v>
      </c>
      <c r="AA21" s="10">
        <f t="shared" si="13"/>
        <v>20549.992165047588</v>
      </c>
      <c r="AB21" s="10">
        <f t="shared" si="14"/>
        <v>27553.565053577637</v>
      </c>
      <c r="AC21" s="10">
        <f t="shared" si="15"/>
        <v>22321.106789219793</v>
      </c>
      <c r="AD21" s="10">
        <f t="shared" si="16"/>
        <v>22994.881067769638</v>
      </c>
      <c r="AE21" s="10">
        <f t="shared" si="17"/>
        <v>32471.502567977121</v>
      </c>
      <c r="AF21" s="10">
        <f t="shared" si="18"/>
        <v>41469.593877680185</v>
      </c>
      <c r="AG21" s="10">
        <f t="shared" si="19"/>
        <v>8601.3092363338146</v>
      </c>
      <c r="AH21" s="10">
        <f t="shared" si="20"/>
        <v>659914.74272022967</v>
      </c>
      <c r="AJ21">
        <f t="shared" si="21"/>
        <v>3.8263900000000004</v>
      </c>
    </row>
    <row r="22" spans="1:36" x14ac:dyDescent="0.4">
      <c r="A22" s="1" t="s">
        <v>29</v>
      </c>
      <c r="B22" s="8">
        <v>28112.941164782456</v>
      </c>
      <c r="C22" s="8">
        <v>454.89461936276246</v>
      </c>
      <c r="D22" s="8">
        <v>56.063356785747047</v>
      </c>
      <c r="E22" s="8">
        <v>59.721732100636281</v>
      </c>
      <c r="F22" s="8">
        <v>711.61730318049797</v>
      </c>
      <c r="G22" s="8">
        <v>9603.9279203349506</v>
      </c>
      <c r="H22" s="8">
        <v>249.63149787370324</v>
      </c>
      <c r="I22" s="8">
        <v>5361.422445894852</v>
      </c>
      <c r="J22" s="8">
        <v>773.94720299316998</v>
      </c>
      <c r="K22" s="8">
        <v>497.56348706296336</v>
      </c>
      <c r="L22" s="7" t="s">
        <v>29</v>
      </c>
      <c r="M22" s="8">
        <f t="shared" si="0"/>
        <v>28683.620873031603</v>
      </c>
      <c r="N22" s="8">
        <f t="shared" si="1"/>
        <v>10565.176721389151</v>
      </c>
      <c r="O22" s="8">
        <f t="shared" si="2"/>
        <v>6632.9331359509861</v>
      </c>
      <c r="P22" s="8"/>
      <c r="Q22" s="10">
        <f t="shared" si="3"/>
        <v>120850.37818347158</v>
      </c>
      <c r="R22" s="10">
        <f t="shared" si="4"/>
        <v>42175.615160384586</v>
      </c>
      <c r="S22" s="10">
        <f t="shared" si="5"/>
        <v>30564.039906345126</v>
      </c>
      <c r="T22" s="10">
        <f t="shared" si="6"/>
        <v>39386.193157110865</v>
      </c>
      <c r="U22" s="10">
        <f t="shared" si="7"/>
        <v>18138.509255221194</v>
      </c>
      <c r="V22" s="10">
        <f t="shared" si="8"/>
        <v>18675.381451967773</v>
      </c>
      <c r="W22" s="10">
        <f t="shared" si="9"/>
        <v>14179.828274051399</v>
      </c>
      <c r="X22" s="10">
        <f t="shared" si="10"/>
        <v>5071.7626937883242</v>
      </c>
      <c r="Y22" s="10">
        <f t="shared" si="11"/>
        <v>177784.65459397328</v>
      </c>
      <c r="Z22" s="10">
        <f t="shared" si="12"/>
        <v>19604.12633092577</v>
      </c>
      <c r="AA22" s="10">
        <f t="shared" si="13"/>
        <v>20655.202127051798</v>
      </c>
      <c r="AB22" s="10">
        <f t="shared" si="14"/>
        <v>27694.631264653766</v>
      </c>
      <c r="AC22" s="10">
        <f t="shared" si="15"/>
        <v>22435.38434116845</v>
      </c>
      <c r="AD22" s="10">
        <f t="shared" si="16"/>
        <v>23112.608147371462</v>
      </c>
      <c r="AE22" s="10">
        <f t="shared" si="17"/>
        <v>32637.747183739415</v>
      </c>
      <c r="AF22" s="10">
        <f t="shared" si="18"/>
        <v>41681.906094695114</v>
      </c>
      <c r="AG22" s="10">
        <f t="shared" si="19"/>
        <v>8645.3454291787111</v>
      </c>
      <c r="AH22" s="10">
        <f t="shared" si="20"/>
        <v>663293.31359509868</v>
      </c>
      <c r="AJ22">
        <f t="shared" si="21"/>
        <v>3.8459799999999995</v>
      </c>
    </row>
    <row r="23" spans="1:36" x14ac:dyDescent="0.4">
      <c r="A23" s="1" t="s">
        <v>30</v>
      </c>
      <c r="B23" s="8">
        <v>26105.552696128809</v>
      </c>
      <c r="C23" s="8">
        <v>422.41312950337635</v>
      </c>
      <c r="D23" s="8">
        <v>52.060184891846959</v>
      </c>
      <c r="E23" s="8">
        <v>55.457336011869117</v>
      </c>
      <c r="F23" s="8">
        <v>660.80467706194599</v>
      </c>
      <c r="G23" s="8">
        <v>8918.1649456230734</v>
      </c>
      <c r="H23" s="8">
        <v>231.80670368702613</v>
      </c>
      <c r="I23" s="8">
        <v>4978.593145666654</v>
      </c>
      <c r="J23" s="8">
        <v>718.68394606360084</v>
      </c>
      <c r="K23" s="8">
        <v>462.03525113421932</v>
      </c>
      <c r="L23" s="7" t="s">
        <v>30</v>
      </c>
      <c r="M23" s="8">
        <f t="shared" si="0"/>
        <v>26635.483346535904</v>
      </c>
      <c r="N23" s="8">
        <f t="shared" si="1"/>
        <v>9810.7763263720444</v>
      </c>
      <c r="O23" s="8">
        <f t="shared" si="2"/>
        <v>6159.312342864474</v>
      </c>
      <c r="P23" s="8"/>
      <c r="Q23" s="10">
        <f t="shared" si="3"/>
        <v>112221.12611852454</v>
      </c>
      <c r="R23" s="10">
        <f t="shared" si="4"/>
        <v>39164.089506235359</v>
      </c>
      <c r="S23" s="10">
        <f t="shared" si="5"/>
        <v>28381.632135352942</v>
      </c>
      <c r="T23" s="10">
        <f t="shared" si="6"/>
        <v>36573.844584105856</v>
      </c>
      <c r="U23" s="10">
        <f t="shared" si="7"/>
        <v>16843.339386509222</v>
      </c>
      <c r="V23" s="10">
        <f t="shared" si="8"/>
        <v>17341.876531417121</v>
      </c>
      <c r="W23" s="10">
        <f t="shared" si="9"/>
        <v>13167.325754376308</v>
      </c>
      <c r="X23" s="10">
        <f t="shared" si="10"/>
        <v>4709.6163823233264</v>
      </c>
      <c r="Y23" s="10">
        <f t="shared" si="11"/>
        <v>165090.04311793932</v>
      </c>
      <c r="Z23" s="10">
        <f t="shared" si="12"/>
        <v>18204.304914018026</v>
      </c>
      <c r="AA23" s="10">
        <f t="shared" si="13"/>
        <v>19180.329244683464</v>
      </c>
      <c r="AB23" s="10">
        <f t="shared" si="14"/>
        <v>25717.11197492807</v>
      </c>
      <c r="AC23" s="10">
        <f t="shared" si="15"/>
        <v>20833.398566990818</v>
      </c>
      <c r="AD23" s="10">
        <f t="shared" si="16"/>
        <v>21462.265595035995</v>
      </c>
      <c r="AE23" s="10">
        <f t="shared" si="17"/>
        <v>30307.267531843532</v>
      </c>
      <c r="AF23" s="10">
        <f t="shared" si="18"/>
        <v>38705.633453723196</v>
      </c>
      <c r="AG23" s="10">
        <f t="shared" si="19"/>
        <v>8028.0294884403138</v>
      </c>
      <c r="AH23" s="10">
        <f t="shared" si="20"/>
        <v>615931.2342864474</v>
      </c>
      <c r="AJ23">
        <f t="shared" si="21"/>
        <v>3.5713599999999999</v>
      </c>
    </row>
    <row r="24" spans="1:36" x14ac:dyDescent="0.4">
      <c r="A24" s="1" t="s">
        <v>31</v>
      </c>
      <c r="B24" s="8">
        <v>23915.933528605685</v>
      </c>
      <c r="C24" s="8">
        <v>386.98297042035574</v>
      </c>
      <c r="D24" s="8">
        <v>47.693605105896296</v>
      </c>
      <c r="E24" s="8">
        <v>50.805818102065736</v>
      </c>
      <c r="F24" s="8">
        <v>605.37928141045586</v>
      </c>
      <c r="G24" s="8">
        <v>8170.1484170565354</v>
      </c>
      <c r="H24" s="8">
        <v>212.36377491774815</v>
      </c>
      <c r="I24" s="8">
        <v>4561.0106065822592</v>
      </c>
      <c r="J24" s="8">
        <v>658.40389139441277</v>
      </c>
      <c r="K24" s="8">
        <v>423.28176241360438</v>
      </c>
      <c r="L24" s="7" t="s">
        <v>31</v>
      </c>
      <c r="M24" s="8">
        <f t="shared" si="0"/>
        <v>24401.415922233999</v>
      </c>
      <c r="N24" s="8">
        <f t="shared" si="1"/>
        <v>8987.8914733847396</v>
      </c>
      <c r="O24" s="8">
        <f t="shared" si="2"/>
        <v>5642.6962603902757</v>
      </c>
      <c r="P24" s="8"/>
      <c r="Q24" s="10">
        <f t="shared" si="3"/>
        <v>102808.51066424268</v>
      </c>
      <c r="R24" s="10">
        <f t="shared" si="4"/>
        <v>35879.177592680637</v>
      </c>
      <c r="S24" s="10">
        <f t="shared" si="5"/>
        <v>26001.105415519327</v>
      </c>
      <c r="T24" s="10">
        <f t="shared" si="6"/>
        <v>33506.191044510604</v>
      </c>
      <c r="U24" s="10">
        <f t="shared" si="7"/>
        <v>15430.594014093998</v>
      </c>
      <c r="V24" s="10">
        <f t="shared" si="8"/>
        <v>15887.316051659829</v>
      </c>
      <c r="W24" s="10">
        <f t="shared" si="9"/>
        <v>12062.908269238034</v>
      </c>
      <c r="X24" s="10">
        <f t="shared" si="10"/>
        <v>4314.5944334509213</v>
      </c>
      <c r="Y24" s="10">
        <f t="shared" si="11"/>
        <v>151243.014978525</v>
      </c>
      <c r="Z24" s="10">
        <f t="shared" si="12"/>
        <v>16677.407727233691</v>
      </c>
      <c r="AA24" s="10">
        <f t="shared" si="13"/>
        <v>17571.567421387874</v>
      </c>
      <c r="AB24" s="10">
        <f t="shared" si="14"/>
        <v>23560.073510004426</v>
      </c>
      <c r="AC24" s="10">
        <f t="shared" si="15"/>
        <v>19085.984545233812</v>
      </c>
      <c r="AD24" s="10">
        <f t="shared" si="16"/>
        <v>19662.104967433894</v>
      </c>
      <c r="AE24" s="10">
        <f t="shared" si="17"/>
        <v>27765.226967698854</v>
      </c>
      <c r="AF24" s="10">
        <f t="shared" si="18"/>
        <v>35459.174821419874</v>
      </c>
      <c r="AG24" s="10">
        <f t="shared" si="19"/>
        <v>7354.6736146940957</v>
      </c>
      <c r="AH24" s="10">
        <f t="shared" si="20"/>
        <v>564269.62603902759</v>
      </c>
      <c r="AJ24">
        <f t="shared" si="21"/>
        <v>3.2718099999999999</v>
      </c>
    </row>
    <row r="25" spans="1:36" x14ac:dyDescent="0.4">
      <c r="A25" s="1" t="s">
        <v>32</v>
      </c>
      <c r="B25" s="8">
        <v>24441.866091127096</v>
      </c>
      <c r="C25" s="8">
        <v>395.49306872121821</v>
      </c>
      <c r="D25" s="8">
        <v>48.742429728160197</v>
      </c>
      <c r="E25" s="8">
        <v>51.923083044847758</v>
      </c>
      <c r="F25" s="8">
        <v>618.69210804081717</v>
      </c>
      <c r="G25" s="8">
        <v>8349.8172176920307</v>
      </c>
      <c r="H25" s="8">
        <v>217.03384243552333</v>
      </c>
      <c r="I25" s="8">
        <v>4661.311269867595</v>
      </c>
      <c r="J25" s="8">
        <v>672.88277616639778</v>
      </c>
      <c r="K25" s="8">
        <v>432.59010330309945</v>
      </c>
      <c r="L25" s="7" t="s">
        <v>32</v>
      </c>
      <c r="M25" s="8">
        <f t="shared" si="0"/>
        <v>24938.024672621323</v>
      </c>
      <c r="N25" s="8">
        <f t="shared" si="1"/>
        <v>9185.5431681683713</v>
      </c>
      <c r="O25" s="8">
        <f t="shared" si="2"/>
        <v>5766.7841493370925</v>
      </c>
      <c r="P25" s="8"/>
      <c r="Q25" s="10">
        <f t="shared" si="3"/>
        <v>105069.36087935064</v>
      </c>
      <c r="R25" s="10">
        <f t="shared" si="4"/>
        <v>36668.19248895927</v>
      </c>
      <c r="S25" s="10">
        <f t="shared" si="5"/>
        <v>26572.892754835069</v>
      </c>
      <c r="T25" s="10">
        <f t="shared" si="6"/>
        <v>34243.021864653754</v>
      </c>
      <c r="U25" s="10">
        <f t="shared" si="7"/>
        <v>15769.926444557283</v>
      </c>
      <c r="V25" s="10">
        <f t="shared" si="8"/>
        <v>16236.692204283892</v>
      </c>
      <c r="W25" s="10">
        <f t="shared" si="9"/>
        <v>12328.18230714723</v>
      </c>
      <c r="X25" s="10">
        <f t="shared" si="10"/>
        <v>4409.4761868188725</v>
      </c>
      <c r="Y25" s="10">
        <f t="shared" si="11"/>
        <v>154568.9828457621</v>
      </c>
      <c r="Z25" s="10">
        <f t="shared" si="12"/>
        <v>17044.158695650094</v>
      </c>
      <c r="AA25" s="10">
        <f t="shared" si="13"/>
        <v>17957.981753506447</v>
      </c>
      <c r="AB25" s="10">
        <f t="shared" si="14"/>
        <v>24078.180395503536</v>
      </c>
      <c r="AC25" s="10">
        <f t="shared" si="15"/>
        <v>19505.70225134437</v>
      </c>
      <c r="AD25" s="10">
        <f t="shared" si="16"/>
        <v>20094.4920719439</v>
      </c>
      <c r="AE25" s="10">
        <f t="shared" si="17"/>
        <v>28375.808902568529</v>
      </c>
      <c r="AF25" s="10">
        <f t="shared" si="18"/>
        <v>36238.953484728925</v>
      </c>
      <c r="AG25" s="10">
        <f t="shared" si="19"/>
        <v>7516.4094020953335</v>
      </c>
      <c r="AH25" s="10">
        <f t="shared" si="20"/>
        <v>576678.41493370931</v>
      </c>
      <c r="AJ25">
        <f t="shared" si="21"/>
        <v>3.3437599999999996</v>
      </c>
    </row>
    <row r="26" spans="1:36" x14ac:dyDescent="0.4">
      <c r="A26" s="1" t="s">
        <v>33</v>
      </c>
      <c r="B26" s="8">
        <v>26118.125371702637</v>
      </c>
      <c r="C26" s="8">
        <v>422.61656757255611</v>
      </c>
      <c r="D26" s="8">
        <v>52.085257558286067</v>
      </c>
      <c r="E26" s="8">
        <v>55.484044777700738</v>
      </c>
      <c r="F26" s="8">
        <v>661.12292670481224</v>
      </c>
      <c r="G26" s="8">
        <v>8922.4600163262439</v>
      </c>
      <c r="H26" s="8">
        <v>231.91834393901465</v>
      </c>
      <c r="I26" s="8">
        <v>4980.9908821621484</v>
      </c>
      <c r="J26" s="8">
        <v>719.03007089762195</v>
      </c>
      <c r="K26" s="8">
        <v>462.25777158355817</v>
      </c>
      <c r="L26" s="7" t="s">
        <v>33</v>
      </c>
      <c r="M26" s="8">
        <f t="shared" si="0"/>
        <v>26648.311241611184</v>
      </c>
      <c r="N26" s="8">
        <f t="shared" si="1"/>
        <v>9815.5012869700713</v>
      </c>
      <c r="O26" s="8">
        <f t="shared" si="2"/>
        <v>6162.2787246433281</v>
      </c>
      <c r="P26" s="8"/>
      <c r="Q26" s="10">
        <f t="shared" si="3"/>
        <v>112275.17285056048</v>
      </c>
      <c r="R26" s="10">
        <f t="shared" si="4"/>
        <v>39182.951293887891</v>
      </c>
      <c r="S26" s="10">
        <f t="shared" si="5"/>
        <v>28395.300991831373</v>
      </c>
      <c r="T26" s="10">
        <f t="shared" si="6"/>
        <v>36591.45888585216</v>
      </c>
      <c r="U26" s="10">
        <f t="shared" si="7"/>
        <v>16851.451294506402</v>
      </c>
      <c r="V26" s="10">
        <f t="shared" si="8"/>
        <v>17350.228539513206</v>
      </c>
      <c r="W26" s="10">
        <f t="shared" si="9"/>
        <v>13173.667260216529</v>
      </c>
      <c r="X26" s="10">
        <f t="shared" si="10"/>
        <v>4711.8845771223932</v>
      </c>
      <c r="Y26" s="10">
        <f t="shared" si="11"/>
        <v>165169.55200927565</v>
      </c>
      <c r="Z26" s="10">
        <f t="shared" si="12"/>
        <v>18213.072275597959</v>
      </c>
      <c r="AA26" s="10">
        <f t="shared" si="13"/>
        <v>19189.566668606243</v>
      </c>
      <c r="AB26" s="10">
        <f t="shared" si="14"/>
        <v>25729.497573858698</v>
      </c>
      <c r="AC26" s="10">
        <f t="shared" si="15"/>
        <v>20843.432124384984</v>
      </c>
      <c r="AD26" s="10">
        <f t="shared" si="16"/>
        <v>21472.602020605937</v>
      </c>
      <c r="AE26" s="10">
        <f t="shared" si="17"/>
        <v>30321.863792135067</v>
      </c>
      <c r="AF26" s="10">
        <f t="shared" si="18"/>
        <v>38724.274444701536</v>
      </c>
      <c r="AG26" s="10">
        <f t="shared" si="19"/>
        <v>8031.8958616763139</v>
      </c>
      <c r="AH26" s="10">
        <f t="shared" si="20"/>
        <v>616227.87246433285</v>
      </c>
      <c r="AJ26">
        <f t="shared" si="21"/>
        <v>3.57308</v>
      </c>
    </row>
    <row r="27" spans="1:36" x14ac:dyDescent="0.4">
      <c r="A27" s="1" t="s">
        <v>34</v>
      </c>
      <c r="B27" s="8">
        <v>28346.70521411442</v>
      </c>
      <c r="C27" s="8">
        <v>458.67714811413953</v>
      </c>
      <c r="D27" s="8">
        <v>56.529533455934661</v>
      </c>
      <c r="E27" s="8">
        <v>60.218328804877679</v>
      </c>
      <c r="F27" s="8">
        <v>717.53452619146321</v>
      </c>
      <c r="G27" s="8">
        <v>9683.7862698043482</v>
      </c>
      <c r="H27" s="8">
        <v>251.70722767521053</v>
      </c>
      <c r="I27" s="8">
        <v>5406.0036163168816</v>
      </c>
      <c r="J27" s="8">
        <v>780.38271008153799</v>
      </c>
      <c r="K27" s="8">
        <v>501.7008149524151</v>
      </c>
      <c r="L27" s="7" t="s">
        <v>34</v>
      </c>
      <c r="M27" s="8">
        <f t="shared" si="0"/>
        <v>28922.13022448937</v>
      </c>
      <c r="N27" s="8">
        <f t="shared" si="1"/>
        <v>10653.02802367102</v>
      </c>
      <c r="O27" s="8">
        <f t="shared" si="2"/>
        <v>6688.0871413508348</v>
      </c>
      <c r="P27" s="8"/>
      <c r="Q27" s="10">
        <f t="shared" si="3"/>
        <v>121855.27032911648</v>
      </c>
      <c r="R27" s="10">
        <f t="shared" si="4"/>
        <v>42526.312816854217</v>
      </c>
      <c r="S27" s="10">
        <f t="shared" si="5"/>
        <v>30818.185272728962</v>
      </c>
      <c r="T27" s="10">
        <f t="shared" si="6"/>
        <v>39713.696279114723</v>
      </c>
      <c r="U27" s="10">
        <f t="shared" si="7"/>
        <v>18289.334149261715</v>
      </c>
      <c r="V27" s="10">
        <f t="shared" si="8"/>
        <v>18830.670532731045</v>
      </c>
      <c r="W27" s="10">
        <f t="shared" si="9"/>
        <v>14297.736039615484</v>
      </c>
      <c r="X27" s="10">
        <f t="shared" si="10"/>
        <v>5113.9352924360937</v>
      </c>
      <c r="Y27" s="10">
        <f t="shared" si="11"/>
        <v>179262.96525963332</v>
      </c>
      <c r="Z27" s="10">
        <f t="shared" si="12"/>
        <v>19767.138088673601</v>
      </c>
      <c r="AA27" s="10">
        <f t="shared" si="13"/>
        <v>20826.953764871836</v>
      </c>
      <c r="AB27" s="10">
        <f t="shared" si="14"/>
        <v>27924.916993608058</v>
      </c>
      <c r="AC27" s="10">
        <f t="shared" si="15"/>
        <v>22621.9385071367</v>
      </c>
      <c r="AD27" s="10">
        <f t="shared" si="16"/>
        <v>23304.79354837535</v>
      </c>
      <c r="AE27" s="10">
        <f t="shared" si="17"/>
        <v>32909.135790787812</v>
      </c>
      <c r="AF27" s="10">
        <f t="shared" si="18"/>
        <v>42028.498473466803</v>
      </c>
      <c r="AG27" s="10">
        <f t="shared" si="19"/>
        <v>8717.2329966712969</v>
      </c>
      <c r="AH27" s="10">
        <f t="shared" si="20"/>
        <v>668808.71413508349</v>
      </c>
      <c r="AJ27">
        <f t="shared" si="21"/>
        <v>3.8779599999999999</v>
      </c>
    </row>
    <row r="28" spans="1:36" x14ac:dyDescent="0.4">
      <c r="A28" s="1" t="s">
        <v>35</v>
      </c>
      <c r="B28" s="8">
        <v>32505.848629667693</v>
      </c>
      <c r="C28" s="8">
        <v>525.97611729006303</v>
      </c>
      <c r="D28" s="8">
        <v>64.82377559383508</v>
      </c>
      <c r="E28" s="8">
        <v>69.053805938908809</v>
      </c>
      <c r="F28" s="8">
        <v>822.81409845566429</v>
      </c>
      <c r="G28" s="8">
        <v>11104.630618290659</v>
      </c>
      <c r="H28" s="8">
        <v>288.63873173273515</v>
      </c>
      <c r="I28" s="8">
        <v>6199.1943654860697</v>
      </c>
      <c r="J28" s="8">
        <v>894.8836224708599</v>
      </c>
      <c r="K28" s="8">
        <v>575.31239080667217</v>
      </c>
      <c r="L28" s="7" t="s">
        <v>35</v>
      </c>
      <c r="M28" s="8">
        <f t="shared" si="0"/>
        <v>33165.702328490494</v>
      </c>
      <c r="N28" s="8">
        <f t="shared" si="1"/>
        <v>12216.083448479059</v>
      </c>
      <c r="O28" s="8">
        <f t="shared" si="2"/>
        <v>7669.3903787636018</v>
      </c>
      <c r="P28" s="8"/>
      <c r="Q28" s="10">
        <f t="shared" si="3"/>
        <v>139734.36920186505</v>
      </c>
      <c r="R28" s="10">
        <f t="shared" si="4"/>
        <v>48765.945698488351</v>
      </c>
      <c r="S28" s="10">
        <f t="shared" si="5"/>
        <v>35339.954253927855</v>
      </c>
      <c r="T28" s="10">
        <f t="shared" si="6"/>
        <v>45540.650669013921</v>
      </c>
      <c r="U28" s="10">
        <f t="shared" si="7"/>
        <v>20972.819341885781</v>
      </c>
      <c r="V28" s="10">
        <f t="shared" si="8"/>
        <v>21593.582792377518</v>
      </c>
      <c r="W28" s="10">
        <f t="shared" si="9"/>
        <v>16395.557788468184</v>
      </c>
      <c r="X28" s="10">
        <f t="shared" si="10"/>
        <v>5864.2725940181663</v>
      </c>
      <c r="Y28" s="10">
        <f t="shared" si="11"/>
        <v>205565.15367908034</v>
      </c>
      <c r="Z28" s="10">
        <f t="shared" si="12"/>
        <v>22667.452661560994</v>
      </c>
      <c r="AA28" s="10">
        <f t="shared" si="13"/>
        <v>23882.768786861347</v>
      </c>
      <c r="AB28" s="10">
        <f t="shared" si="14"/>
        <v>32022.173932873302</v>
      </c>
      <c r="AC28" s="10">
        <f t="shared" si="15"/>
        <v>25941.120961616816</v>
      </c>
      <c r="AD28" s="10">
        <f t="shared" si="16"/>
        <v>26724.167260608094</v>
      </c>
      <c r="AE28" s="10">
        <f t="shared" si="17"/>
        <v>37737.697501996889</v>
      </c>
      <c r="AF28" s="10">
        <f t="shared" si="18"/>
        <v>48195.090018097973</v>
      </c>
      <c r="AG28" s="10">
        <f t="shared" si="19"/>
        <v>9996.2607336195906</v>
      </c>
      <c r="AH28" s="10">
        <f t="shared" si="20"/>
        <v>766939.03787636012</v>
      </c>
      <c r="AJ28">
        <f t="shared" si="21"/>
        <v>4.4469500000000002</v>
      </c>
    </row>
    <row r="29" spans="1:36" x14ac:dyDescent="0.4">
      <c r="A29" s="1" t="s">
        <v>36</v>
      </c>
      <c r="B29" s="8">
        <v>34816.954929770465</v>
      </c>
      <c r="C29" s="8">
        <v>563.37205585550657</v>
      </c>
      <c r="D29" s="8">
        <v>69.432627307819445</v>
      </c>
      <c r="E29" s="8">
        <v>73.963405062736328</v>
      </c>
      <c r="F29" s="8">
        <v>881.31467379577987</v>
      </c>
      <c r="G29" s="8">
        <v>11894.149516093637</v>
      </c>
      <c r="H29" s="8">
        <v>309.16041689041373</v>
      </c>
      <c r="I29" s="8">
        <v>6639.9457304745965</v>
      </c>
      <c r="J29" s="8">
        <v>958.50820896646053</v>
      </c>
      <c r="K29" s="8">
        <v>616.21604805520099</v>
      </c>
      <c r="L29" s="7" t="s">
        <v>36</v>
      </c>
      <c r="M29" s="8">
        <f t="shared" si="0"/>
        <v>35523.723017996526</v>
      </c>
      <c r="N29" s="8">
        <f t="shared" si="1"/>
        <v>13084.624606779831</v>
      </c>
      <c r="O29" s="8">
        <f t="shared" si="2"/>
        <v>8214.6699874962578</v>
      </c>
      <c r="P29" s="8"/>
      <c r="Q29" s="10">
        <f t="shared" si="3"/>
        <v>149669.22691570345</v>
      </c>
      <c r="R29" s="10">
        <f t="shared" si="4"/>
        <v>52233.115118313406</v>
      </c>
      <c r="S29" s="10">
        <f t="shared" si="5"/>
        <v>37852.560272989089</v>
      </c>
      <c r="T29" s="10">
        <f t="shared" si="6"/>
        <v>48778.507519669343</v>
      </c>
      <c r="U29" s="10">
        <f t="shared" si="7"/>
        <v>22463.948383436513</v>
      </c>
      <c r="V29" s="10">
        <f t="shared" si="8"/>
        <v>23128.846978272566</v>
      </c>
      <c r="W29" s="10">
        <f t="shared" si="9"/>
        <v>17561.251917248577</v>
      </c>
      <c r="X29" s="10">
        <f t="shared" si="10"/>
        <v>6281.2116344955093</v>
      </c>
      <c r="Y29" s="10">
        <f t="shared" si="11"/>
        <v>220180.45959408159</v>
      </c>
      <c r="Z29" s="10">
        <f t="shared" si="12"/>
        <v>24279.067028263053</v>
      </c>
      <c r="AA29" s="10">
        <f t="shared" si="13"/>
        <v>25580.789904108435</v>
      </c>
      <c r="AB29" s="10">
        <f t="shared" si="14"/>
        <v>34298.891847928913</v>
      </c>
      <c r="AC29" s="10">
        <f t="shared" si="15"/>
        <v>27785.487148426739</v>
      </c>
      <c r="AD29" s="10">
        <f t="shared" si="16"/>
        <v>28624.206605054616</v>
      </c>
      <c r="AE29" s="10">
        <f t="shared" si="17"/>
        <v>40420.778674307425</v>
      </c>
      <c r="AF29" s="10">
        <f t="shared" si="18"/>
        <v>51621.672644622224</v>
      </c>
      <c r="AG29" s="10">
        <f t="shared" si="19"/>
        <v>10706.976562704356</v>
      </c>
      <c r="AH29" s="10">
        <f t="shared" si="20"/>
        <v>821466.99874962575</v>
      </c>
      <c r="AJ29">
        <f t="shared" si="21"/>
        <v>4.7631199999999998</v>
      </c>
    </row>
    <row r="30" spans="1:36" x14ac:dyDescent="0.4">
      <c r="A30" s="1" t="s">
        <v>37</v>
      </c>
      <c r="B30" s="8">
        <v>43340.424902363819</v>
      </c>
      <c r="C30" s="8">
        <v>701.29005618518829</v>
      </c>
      <c r="D30" s="8">
        <v>86.430291669053872</v>
      </c>
      <c r="E30" s="8">
        <v>92.070240177829731</v>
      </c>
      <c r="F30" s="8">
        <v>1097.0675784842128</v>
      </c>
      <c r="G30" s="8">
        <v>14805.932768088338</v>
      </c>
      <c r="H30" s="8">
        <v>384.84536795506608</v>
      </c>
      <c r="I30" s="8">
        <v>8265.4577308062926</v>
      </c>
      <c r="J30" s="8">
        <v>1193.1587105421802</v>
      </c>
      <c r="K30" s="8">
        <v>767.07068174798371</v>
      </c>
      <c r="L30" s="7" t="s">
        <v>37</v>
      </c>
      <c r="M30" s="8">
        <f t="shared" si="0"/>
        <v>44220.215490395887</v>
      </c>
      <c r="N30" s="8">
        <f t="shared" si="1"/>
        <v>16287.845714527617</v>
      </c>
      <c r="O30" s="8">
        <f t="shared" si="2"/>
        <v>10225.687123096457</v>
      </c>
      <c r="P30" s="8"/>
      <c r="Q30" s="10">
        <f t="shared" si="3"/>
        <v>186309.4547590196</v>
      </c>
      <c r="R30" s="10">
        <f t="shared" si="4"/>
        <v>65020.200869608656</v>
      </c>
      <c r="S30" s="10">
        <f t="shared" si="5"/>
        <v>47119.17079431103</v>
      </c>
      <c r="T30" s="10">
        <f t="shared" si="6"/>
        <v>60719.877607618102</v>
      </c>
      <c r="U30" s="10">
        <f t="shared" si="7"/>
        <v>27963.303220708334</v>
      </c>
      <c r="V30" s="10">
        <f t="shared" si="8"/>
        <v>28790.974327366177</v>
      </c>
      <c r="W30" s="10">
        <f t="shared" si="9"/>
        <v>21860.387315497566</v>
      </c>
      <c r="X30" s="10">
        <f t="shared" si="10"/>
        <v>7818.9026492932671</v>
      </c>
      <c r="Y30" s="10">
        <f t="shared" si="11"/>
        <v>274082.40304914443</v>
      </c>
      <c r="Z30" s="10">
        <f t="shared" si="12"/>
        <v>30222.777476101059</v>
      </c>
      <c r="AA30" s="10">
        <f t="shared" si="13"/>
        <v>31843.172558269085</v>
      </c>
      <c r="AB30" s="10">
        <f t="shared" si="14"/>
        <v>42695.535820635363</v>
      </c>
      <c r="AC30" s="10">
        <f t="shared" si="15"/>
        <v>34587.597380674306</v>
      </c>
      <c r="AD30" s="10">
        <f t="shared" si="16"/>
        <v>35631.642091001631</v>
      </c>
      <c r="AE30" s="10">
        <f t="shared" si="17"/>
        <v>50316.109670204278</v>
      </c>
      <c r="AF30" s="10">
        <f t="shared" si="18"/>
        <v>64259.072371536895</v>
      </c>
      <c r="AG30" s="10">
        <f t="shared" si="19"/>
        <v>13328.130348655881</v>
      </c>
      <c r="AH30" s="10">
        <f t="shared" si="20"/>
        <v>1022568.7123096456</v>
      </c>
      <c r="AJ30">
        <f t="shared" si="21"/>
        <v>5.9291699999999992</v>
      </c>
    </row>
    <row r="31" spans="1:36" x14ac:dyDescent="0.4">
      <c r="A31" s="1" t="s">
        <v>38</v>
      </c>
      <c r="B31" s="8">
        <v>28742.013525179857</v>
      </c>
      <c r="C31" s="8">
        <v>465.07361949858205</v>
      </c>
      <c r="D31" s="8">
        <v>57.317864735601546</v>
      </c>
      <c r="E31" s="8">
        <v>61.058102093350954</v>
      </c>
      <c r="F31" s="8">
        <v>727.54088705553477</v>
      </c>
      <c r="G31" s="8">
        <v>9818.8312835412162</v>
      </c>
      <c r="H31" s="8">
        <v>255.21740490052369</v>
      </c>
      <c r="I31" s="8">
        <v>5481.3929126403145</v>
      </c>
      <c r="J31" s="8">
        <v>791.26551881633929</v>
      </c>
      <c r="K31" s="8">
        <v>508.69727187116274</v>
      </c>
      <c r="L31" s="7" t="s">
        <v>38</v>
      </c>
      <c r="M31" s="8">
        <f t="shared" si="0"/>
        <v>29325.463111507386</v>
      </c>
      <c r="N31" s="8">
        <f t="shared" si="1"/>
        <v>10801.589575497275</v>
      </c>
      <c r="O31" s="8">
        <f t="shared" si="2"/>
        <v>6781.3557033278166</v>
      </c>
      <c r="P31" s="8"/>
      <c r="Q31" s="10">
        <f t="shared" si="3"/>
        <v>123554.60013638594</v>
      </c>
      <c r="R31" s="10">
        <f t="shared" si="4"/>
        <v>43119.362512347594</v>
      </c>
      <c r="S31" s="10">
        <f t="shared" si="5"/>
        <v>31247.959550841471</v>
      </c>
      <c r="T31" s="10">
        <f t="shared" si="6"/>
        <v>40267.522696812317</v>
      </c>
      <c r="U31" s="10">
        <f t="shared" si="7"/>
        <v>18544.387628614797</v>
      </c>
      <c r="V31" s="10">
        <f t="shared" si="8"/>
        <v>19093.273205891703</v>
      </c>
      <c r="W31" s="10">
        <f t="shared" si="9"/>
        <v>14497.124781382394</v>
      </c>
      <c r="X31" s="10">
        <f t="shared" si="10"/>
        <v>5185.2515568160634</v>
      </c>
      <c r="Y31" s="10">
        <f t="shared" si="11"/>
        <v>181762.87272676578</v>
      </c>
      <c r="Z31" s="10">
        <f t="shared" si="12"/>
        <v>20042.800248117088</v>
      </c>
      <c r="AA31" s="10">
        <f t="shared" si="13"/>
        <v>21117.395558908982</v>
      </c>
      <c r="AB31" s="10">
        <f t="shared" si="14"/>
        <v>28314.34326696166</v>
      </c>
      <c r="AC31" s="10">
        <f t="shared" si="15"/>
        <v>22937.412218692763</v>
      </c>
      <c r="AD31" s="10">
        <f t="shared" si="16"/>
        <v>23629.789998853474</v>
      </c>
      <c r="AE31" s="10">
        <f t="shared" si="17"/>
        <v>33368.069370186728</v>
      </c>
      <c r="AF31" s="10">
        <f t="shared" si="18"/>
        <v>42614.605910739265</v>
      </c>
      <c r="AG31" s="10">
        <f t="shared" si="19"/>
        <v>8838.7989644636382</v>
      </c>
      <c r="AH31" s="10">
        <f t="shared" si="20"/>
        <v>678135.57033278164</v>
      </c>
      <c r="AJ31">
        <f t="shared" si="21"/>
        <v>3.9320400000000006</v>
      </c>
    </row>
    <row r="32" spans="1:36" x14ac:dyDescent="0.4">
      <c r="A32" s="1" t="s">
        <v>39</v>
      </c>
      <c r="B32" s="8">
        <v>17956.704597464883</v>
      </c>
      <c r="C32" s="8">
        <v>290.55687396756815</v>
      </c>
      <c r="D32" s="8">
        <v>35.80959852770809</v>
      </c>
      <c r="E32" s="8">
        <v>38.146328948444626</v>
      </c>
      <c r="F32" s="8">
        <v>454.53450155775226</v>
      </c>
      <c r="G32" s="8">
        <v>6134.3598177780514</v>
      </c>
      <c r="H32" s="8">
        <v>159.4482426888919</v>
      </c>
      <c r="I32" s="8">
        <v>3424.5253287035966</v>
      </c>
      <c r="J32" s="8">
        <v>494.34675712949672</v>
      </c>
      <c r="K32" s="8">
        <v>317.81095059760929</v>
      </c>
      <c r="L32" s="7" t="s">
        <v>39</v>
      </c>
      <c r="M32" s="8">
        <f t="shared" si="0"/>
        <v>18321.217398908604</v>
      </c>
      <c r="N32" s="8">
        <f t="shared" si="1"/>
        <v>6748.3425620246953</v>
      </c>
      <c r="O32" s="8">
        <f t="shared" si="2"/>
        <v>4236.6830364307025</v>
      </c>
      <c r="P32" s="8"/>
      <c r="Q32" s="10">
        <f t="shared" si="3"/>
        <v>77191.302354767555</v>
      </c>
      <c r="R32" s="10">
        <f t="shared" si="4"/>
        <v>26939.01923005173</v>
      </c>
      <c r="S32" s="10">
        <f t="shared" si="5"/>
        <v>19522.305855030754</v>
      </c>
      <c r="T32" s="10">
        <f t="shared" si="6"/>
        <v>25157.319242958172</v>
      </c>
      <c r="U32" s="10">
        <f t="shared" si="7"/>
        <v>11585.691110199785</v>
      </c>
      <c r="V32" s="10">
        <f t="shared" si="8"/>
        <v>11928.609888674915</v>
      </c>
      <c r="W32" s="10">
        <f t="shared" si="9"/>
        <v>9057.145108633873</v>
      </c>
      <c r="X32" s="10">
        <f t="shared" si="10"/>
        <v>3239.5096602303297</v>
      </c>
      <c r="Y32" s="10">
        <f t="shared" si="11"/>
        <v>113557.18726810096</v>
      </c>
      <c r="Z32" s="10">
        <f t="shared" si="12"/>
        <v>12521.831257442578</v>
      </c>
      <c r="AA32" s="10">
        <f t="shared" si="13"/>
        <v>13193.189599849808</v>
      </c>
      <c r="AB32" s="10">
        <f t="shared" si="14"/>
        <v>17689.515644776584</v>
      </c>
      <c r="AC32" s="10">
        <f t="shared" si="15"/>
        <v>14330.253344307763</v>
      </c>
      <c r="AD32" s="10">
        <f t="shared" si="16"/>
        <v>14762.819533774704</v>
      </c>
      <c r="AE32" s="10">
        <f t="shared" si="17"/>
        <v>20846.854175447323</v>
      </c>
      <c r="AF32" s="10">
        <f t="shared" si="18"/>
        <v>26623.670231250351</v>
      </c>
      <c r="AG32" s="10">
        <f t="shared" si="19"/>
        <v>5522.0801375730643</v>
      </c>
      <c r="AH32" s="10">
        <f t="shared" si="20"/>
        <v>423668.30364307028</v>
      </c>
      <c r="AJ32">
        <f t="shared" si="21"/>
        <v>2.4565600000000001</v>
      </c>
    </row>
    <row r="33" spans="1:36" x14ac:dyDescent="0.4">
      <c r="A33" s="1" t="s">
        <v>40</v>
      </c>
      <c r="B33" s="8">
        <v>15501.304916067143</v>
      </c>
      <c r="C33" s="8">
        <v>250.82612872444531</v>
      </c>
      <c r="D33" s="8">
        <v>30.91299423493998</v>
      </c>
      <c r="E33" s="8">
        <v>32.93020015164258</v>
      </c>
      <c r="F33" s="8">
        <v>392.38145647916082</v>
      </c>
      <c r="G33" s="8">
        <v>5295.5474922538115</v>
      </c>
      <c r="H33" s="8">
        <v>137.64529091827538</v>
      </c>
      <c r="I33" s="8">
        <v>2956.2557553307397</v>
      </c>
      <c r="J33" s="8">
        <v>426.74978445739862</v>
      </c>
      <c r="K33" s="8">
        <v>274.35348307585406</v>
      </c>
      <c r="L33" s="7" t="s">
        <v>40</v>
      </c>
      <c r="M33" s="8">
        <f t="shared" si="0"/>
        <v>15815.974239178171</v>
      </c>
      <c r="N33" s="8">
        <f t="shared" si="1"/>
        <v>5825.5742396512478</v>
      </c>
      <c r="O33" s="8">
        <f t="shared" si="2"/>
        <v>3657.3590228639923</v>
      </c>
      <c r="P33" s="8"/>
      <c r="Q33" s="10">
        <f t="shared" si="3"/>
        <v>66636.164123260911</v>
      </c>
      <c r="R33" s="10">
        <f t="shared" si="4"/>
        <v>23255.377898447096</v>
      </c>
      <c r="S33" s="10">
        <f t="shared" si="5"/>
        <v>16852.825866850784</v>
      </c>
      <c r="T33" s="10">
        <f t="shared" si="6"/>
        <v>21717.307557144642</v>
      </c>
      <c r="U33" s="10">
        <f t="shared" si="7"/>
        <v>10001.463775704715</v>
      </c>
      <c r="V33" s="10">
        <f t="shared" si="8"/>
        <v>10297.491842421296</v>
      </c>
      <c r="W33" s="10">
        <f t="shared" si="9"/>
        <v>7818.6711395709535</v>
      </c>
      <c r="X33" s="10">
        <f t="shared" si="10"/>
        <v>2796.5391282799724</v>
      </c>
      <c r="Y33" s="10">
        <f t="shared" si="11"/>
        <v>98029.37814671667</v>
      </c>
      <c r="Z33" s="10">
        <f t="shared" si="12"/>
        <v>10809.596124701045</v>
      </c>
      <c r="AA33" s="10">
        <f t="shared" si="13"/>
        <v>11389.152931302917</v>
      </c>
      <c r="AB33" s="10">
        <f t="shared" si="14"/>
        <v>15270.651379203222</v>
      </c>
      <c r="AC33" s="10">
        <f t="shared" si="15"/>
        <v>12370.734586008994</v>
      </c>
      <c r="AD33" s="10">
        <f t="shared" si="16"/>
        <v>12744.151677263866</v>
      </c>
      <c r="AE33" s="10">
        <f t="shared" si="17"/>
        <v>17996.255457697906</v>
      </c>
      <c r="AF33" s="10">
        <f t="shared" si="18"/>
        <v>22983.149719893288</v>
      </c>
      <c r="AG33" s="10">
        <f t="shared" si="19"/>
        <v>4766.99093193096</v>
      </c>
      <c r="AH33" s="10">
        <f t="shared" si="20"/>
        <v>365735.90228639921</v>
      </c>
      <c r="AJ33">
        <f t="shared" si="21"/>
        <v>2.1206499999999995</v>
      </c>
    </row>
    <row r="34" spans="1:36" x14ac:dyDescent="0.4">
      <c r="A34" s="1" t="s">
        <v>41</v>
      </c>
      <c r="B34" s="8">
        <v>16571.444278862622</v>
      </c>
      <c r="C34" s="8">
        <v>268.14202019416393</v>
      </c>
      <c r="D34" s="8">
        <v>33.04708630859438</v>
      </c>
      <c r="E34" s="8">
        <v>35.203550917775821</v>
      </c>
      <c r="F34" s="8">
        <v>419.46968189521209</v>
      </c>
      <c r="G34" s="8">
        <v>5661.1279288491751</v>
      </c>
      <c r="H34" s="8">
        <v>147.14769376194855</v>
      </c>
      <c r="I34" s="8">
        <v>3160.3421640169536</v>
      </c>
      <c r="J34" s="8">
        <v>456.21064242291067</v>
      </c>
      <c r="K34" s="8">
        <v>293.29359574051114</v>
      </c>
      <c r="L34" s="7" t="s">
        <v>41</v>
      </c>
      <c r="M34" s="8">
        <f t="shared" si="0"/>
        <v>16907.836936283158</v>
      </c>
      <c r="N34" s="8">
        <f t="shared" si="1"/>
        <v>6227.7453045063357</v>
      </c>
      <c r="O34" s="8">
        <f t="shared" si="2"/>
        <v>3909.8464021803752</v>
      </c>
      <c r="P34" s="8"/>
      <c r="Q34" s="10">
        <f t="shared" si="3"/>
        <v>71236.420850040609</v>
      </c>
      <c r="R34" s="10">
        <f t="shared" si="4"/>
        <v>24860.823080034181</v>
      </c>
      <c r="S34" s="10">
        <f t="shared" si="5"/>
        <v>18016.268069433459</v>
      </c>
      <c r="T34" s="10">
        <f t="shared" si="6"/>
        <v>23216.571380201709</v>
      </c>
      <c r="U34" s="10">
        <f t="shared" si="7"/>
        <v>10691.919200580656</v>
      </c>
      <c r="V34" s="10">
        <f t="shared" si="8"/>
        <v>11008.383694320701</v>
      </c>
      <c r="W34" s="10">
        <f t="shared" si="9"/>
        <v>8358.4365203896577</v>
      </c>
      <c r="X34" s="10">
        <f t="shared" si="10"/>
        <v>2989.5994297819584</v>
      </c>
      <c r="Y34" s="10">
        <f t="shared" si="11"/>
        <v>104796.87913022611</v>
      </c>
      <c r="Z34" s="10">
        <f t="shared" si="12"/>
        <v>11555.841319644214</v>
      </c>
      <c r="AA34" s="10">
        <f t="shared" si="13"/>
        <v>12175.408083799908</v>
      </c>
      <c r="AB34" s="10">
        <f t="shared" si="14"/>
        <v>16324.867474228495</v>
      </c>
      <c r="AC34" s="10">
        <f t="shared" si="15"/>
        <v>13224.753657233248</v>
      </c>
      <c r="AD34" s="10">
        <f t="shared" si="16"/>
        <v>13623.949760658781</v>
      </c>
      <c r="AE34" s="10">
        <f t="shared" si="17"/>
        <v>19238.634822047028</v>
      </c>
      <c r="AF34" s="10">
        <f t="shared" si="18"/>
        <v>24569.801510142679</v>
      </c>
      <c r="AG34" s="10">
        <f t="shared" si="19"/>
        <v>5096.0822352741288</v>
      </c>
      <c r="AH34" s="10">
        <f t="shared" si="20"/>
        <v>390984.64021803759</v>
      </c>
      <c r="AJ34">
        <f t="shared" si="21"/>
        <v>2.2670499999999998</v>
      </c>
    </row>
    <row r="35" spans="1:36" x14ac:dyDescent="0.4">
      <c r="A35" s="1" t="s">
        <v>42</v>
      </c>
      <c r="B35" s="8">
        <v>15920.662124015073</v>
      </c>
      <c r="C35" s="8">
        <v>257.61173455516774</v>
      </c>
      <c r="D35" s="8">
        <v>31.749284277737477</v>
      </c>
      <c r="E35" s="8">
        <v>33.821061718944932</v>
      </c>
      <c r="F35" s="8">
        <v>402.99656229964489</v>
      </c>
      <c r="G35" s="8">
        <v>5438.8080772775547</v>
      </c>
      <c r="H35" s="8">
        <v>141.3690125790782</v>
      </c>
      <c r="I35" s="8">
        <v>3036.2314197182268</v>
      </c>
      <c r="J35" s="8">
        <v>438.29465755494937</v>
      </c>
      <c r="K35" s="8">
        <v>281.77557504013942</v>
      </c>
      <c r="L35" s="7" t="s">
        <v>42</v>
      </c>
      <c r="M35" s="8">
        <f t="shared" si="0"/>
        <v>16243.844204566924</v>
      </c>
      <c r="N35" s="8">
        <f t="shared" si="1"/>
        <v>5983.173652156278</v>
      </c>
      <c r="O35" s="8">
        <f t="shared" si="2"/>
        <v>3756.3016523133156</v>
      </c>
      <c r="P35" s="8"/>
      <c r="Q35" s="10">
        <f t="shared" si="3"/>
        <v>68438.87401680839</v>
      </c>
      <c r="R35" s="10">
        <f t="shared" si="4"/>
        <v>23884.506245903729</v>
      </c>
      <c r="S35" s="10">
        <f t="shared" si="5"/>
        <v>17308.745806483083</v>
      </c>
      <c r="T35" s="10">
        <f t="shared" si="6"/>
        <v>22304.826447368578</v>
      </c>
      <c r="U35" s="10">
        <f t="shared" si="7"/>
        <v>10272.033637215185</v>
      </c>
      <c r="V35" s="10">
        <f t="shared" si="8"/>
        <v>10576.070158975046</v>
      </c>
      <c r="W35" s="10">
        <f t="shared" si="9"/>
        <v>8030.1898547182836</v>
      </c>
      <c r="X35" s="10">
        <f t="shared" si="10"/>
        <v>2872.1939745721102</v>
      </c>
      <c r="Y35" s="10">
        <f t="shared" si="11"/>
        <v>100681.36948157963</v>
      </c>
      <c r="Z35" s="10">
        <f t="shared" si="12"/>
        <v>11102.028411817779</v>
      </c>
      <c r="AA35" s="10">
        <f t="shared" si="13"/>
        <v>11697.263983890025</v>
      </c>
      <c r="AB35" s="10">
        <f t="shared" si="14"/>
        <v>15683.768710976447</v>
      </c>
      <c r="AC35" s="10">
        <f t="shared" si="15"/>
        <v>12705.400392813199</v>
      </c>
      <c r="AD35" s="10">
        <f t="shared" si="16"/>
        <v>13088.919546419374</v>
      </c>
      <c r="AE35" s="10">
        <f t="shared" si="17"/>
        <v>18483.108628003298</v>
      </c>
      <c r="AF35" s="10">
        <f t="shared" si="18"/>
        <v>23604.913471304542</v>
      </c>
      <c r="AG35" s="10">
        <f t="shared" si="19"/>
        <v>4895.9524624828564</v>
      </c>
      <c r="AH35" s="10">
        <f t="shared" si="20"/>
        <v>375630.16523133154</v>
      </c>
      <c r="AJ35">
        <f t="shared" si="21"/>
        <v>2.1780200000000001</v>
      </c>
    </row>
    <row r="36" spans="1:36" x14ac:dyDescent="0.4">
      <c r="A36" s="1" t="s">
        <v>43</v>
      </c>
      <c r="B36" s="8">
        <v>89371.183086673511</v>
      </c>
      <c r="C36" s="8">
        <v>1446.1123108364282</v>
      </c>
      <c r="D36" s="8">
        <v>178.22569664212759</v>
      </c>
      <c r="E36" s="8">
        <v>189.85569039305935</v>
      </c>
      <c r="F36" s="8">
        <v>2262.2350296759237</v>
      </c>
      <c r="G36" s="8">
        <v>30530.93575263107</v>
      </c>
      <c r="H36" s="8">
        <v>793.57980262197589</v>
      </c>
      <c r="I36" s="8">
        <v>17043.989250662864</v>
      </c>
      <c r="J36" s="8">
        <v>2460.3820985038051</v>
      </c>
      <c r="K36" s="8">
        <v>1581.7568584838571</v>
      </c>
      <c r="L36" s="7" t="s">
        <v>43</v>
      </c>
      <c r="M36" s="8">
        <f t="shared" si="0"/>
        <v>91185.376784545122</v>
      </c>
      <c r="N36" s="8">
        <f t="shared" si="1"/>
        <v>33586.750584928974</v>
      </c>
      <c r="O36" s="8">
        <f t="shared" si="2"/>
        <v>21086.128207650523</v>
      </c>
      <c r="P36" s="8"/>
      <c r="Q36" s="10">
        <f t="shared" si="3"/>
        <v>384183.96749817074</v>
      </c>
      <c r="R36" s="10">
        <f t="shared" si="4"/>
        <v>134076.49531218945</v>
      </c>
      <c r="S36" s="10">
        <f t="shared" si="5"/>
        <v>97163.238464718714</v>
      </c>
      <c r="T36" s="10">
        <f t="shared" si="6"/>
        <v>125208.90856275089</v>
      </c>
      <c r="U36" s="10">
        <f t="shared" si="7"/>
        <v>57662.413266045005</v>
      </c>
      <c r="V36" s="10">
        <f t="shared" si="8"/>
        <v>59369.132712734907</v>
      </c>
      <c r="W36" s="10">
        <f t="shared" si="9"/>
        <v>45077.746273142147</v>
      </c>
      <c r="X36" s="10">
        <f t="shared" si="10"/>
        <v>16123.159424049687</v>
      </c>
      <c r="Y36" s="10">
        <f t="shared" si="11"/>
        <v>565178.32206127129</v>
      </c>
      <c r="Z36" s="10">
        <f t="shared" si="12"/>
        <v>62321.617411210529</v>
      </c>
      <c r="AA36" s="10">
        <f t="shared" si="13"/>
        <v>65662.992718153706</v>
      </c>
      <c r="AB36" s="10">
        <f t="shared" si="14"/>
        <v>88041.373784536088</v>
      </c>
      <c r="AC36" s="10">
        <f t="shared" si="15"/>
        <v>71322.201039791806</v>
      </c>
      <c r="AD36" s="10">
        <f t="shared" si="16"/>
        <v>73475.09896747797</v>
      </c>
      <c r="AE36" s="10">
        <f t="shared" si="17"/>
        <v>103755.56445686136</v>
      </c>
      <c r="AF36" s="10">
        <f t="shared" si="18"/>
        <v>132506.99167887491</v>
      </c>
      <c r="AG36" s="10">
        <f t="shared" si="19"/>
        <v>27483.59713307305</v>
      </c>
      <c r="AH36" s="10">
        <f t="shared" si="20"/>
        <v>2108612.8207650525</v>
      </c>
      <c r="AJ36">
        <f t="shared" si="21"/>
        <v>12.22639</v>
      </c>
    </row>
    <row r="37" spans="1:36" x14ac:dyDescent="0.4">
      <c r="A37" s="1" t="s">
        <v>44</v>
      </c>
      <c r="B37" s="8">
        <v>99084.013549160663</v>
      </c>
      <c r="C37" s="8">
        <v>1603.2753159546201</v>
      </c>
      <c r="D37" s="8">
        <v>197.59520609423839</v>
      </c>
      <c r="E37" s="8">
        <v>210.48914369911955</v>
      </c>
      <c r="F37" s="8">
        <v>2508.0939805217727</v>
      </c>
      <c r="G37" s="8">
        <v>33849.027698877348</v>
      </c>
      <c r="H37" s="8">
        <v>879.82579171049474</v>
      </c>
      <c r="I37" s="8">
        <v>18896.324335402576</v>
      </c>
      <c r="J37" s="8">
        <v>2727.7756069071779</v>
      </c>
      <c r="K37" s="8">
        <v>1753.6616679393881</v>
      </c>
      <c r="L37" s="7" t="s">
        <v>44</v>
      </c>
      <c r="M37" s="8">
        <f t="shared" si="0"/>
        <v>101095.37321490864</v>
      </c>
      <c r="N37" s="8">
        <f t="shared" si="1"/>
        <v>37236.947471109612</v>
      </c>
      <c r="O37" s="8">
        <f t="shared" si="2"/>
        <v>23377.761610249141</v>
      </c>
      <c r="P37" s="8"/>
      <c r="Q37" s="10">
        <f t="shared" si="3"/>
        <v>425936.95334704925</v>
      </c>
      <c r="R37" s="10">
        <f t="shared" si="4"/>
        <v>148647.88424310239</v>
      </c>
      <c r="S37" s="10">
        <f t="shared" si="5"/>
        <v>107722.90691488099</v>
      </c>
      <c r="T37" s="10">
        <f t="shared" si="6"/>
        <v>138816.57111415328</v>
      </c>
      <c r="U37" s="10">
        <f t="shared" si="7"/>
        <v>63929.145167398558</v>
      </c>
      <c r="V37" s="10">
        <f t="shared" si="8"/>
        <v>65821.35031608092</v>
      </c>
      <c r="W37" s="10">
        <f t="shared" si="9"/>
        <v>49976.780750031925</v>
      </c>
      <c r="X37" s="10">
        <f t="shared" si="10"/>
        <v>17875.419029403372</v>
      </c>
      <c r="Y37" s="10">
        <f t="shared" si="11"/>
        <v>626601.71418455022</v>
      </c>
      <c r="Z37" s="10">
        <f t="shared" si="12"/>
        <v>69094.71006990374</v>
      </c>
      <c r="AA37" s="10">
        <f t="shared" si="13"/>
        <v>72799.224934218626</v>
      </c>
      <c r="AB37" s="10">
        <f t="shared" si="14"/>
        <v>97609.681014220419</v>
      </c>
      <c r="AC37" s="10">
        <f t="shared" si="15"/>
        <v>79073.474134600139</v>
      </c>
      <c r="AD37" s="10">
        <f t="shared" si="16"/>
        <v>81460.348293241826</v>
      </c>
      <c r="AE37" s="10">
        <f t="shared" si="17"/>
        <v>115031.68470394159</v>
      </c>
      <c r="AF37" s="10">
        <f t="shared" si="18"/>
        <v>146907.80747676961</v>
      </c>
      <c r="AG37" s="10">
        <f t="shared" si="19"/>
        <v>30470.505331367243</v>
      </c>
      <c r="AH37" s="10">
        <f t="shared" si="20"/>
        <v>2337776.1610249146</v>
      </c>
      <c r="AJ37">
        <f t="shared" si="21"/>
        <v>13.555149999999999</v>
      </c>
    </row>
    <row r="38" spans="1:36" x14ac:dyDescent="0.4">
      <c r="A38" s="1" t="s">
        <v>45</v>
      </c>
      <c r="B38" s="8">
        <v>29184.250078794106</v>
      </c>
      <c r="C38" s="8">
        <v>472.22943530403273</v>
      </c>
      <c r="D38" s="8">
        <v>58.199781200465551</v>
      </c>
      <c r="E38" s="8">
        <v>61.997567403125956</v>
      </c>
      <c r="F38" s="8">
        <v>738.73513321449025</v>
      </c>
      <c r="G38" s="8">
        <v>9969.9078983910749</v>
      </c>
      <c r="H38" s="8">
        <v>259.14428585709629</v>
      </c>
      <c r="I38" s="8">
        <v>5565.7318998364617</v>
      </c>
      <c r="J38" s="8">
        <v>803.44025861766079</v>
      </c>
      <c r="K38" s="8">
        <v>516.5242993043031</v>
      </c>
      <c r="L38" s="7" t="s">
        <v>45</v>
      </c>
      <c r="M38" s="8">
        <f t="shared" si="0"/>
        <v>29776.676862701734</v>
      </c>
      <c r="N38" s="8">
        <f t="shared" si="1"/>
        <v>10967.787317462662</v>
      </c>
      <c r="O38" s="8">
        <f t="shared" si="2"/>
        <v>6885.6964577584258</v>
      </c>
      <c r="P38" s="8"/>
      <c r="Q38" s="10">
        <f t="shared" si="3"/>
        <v>125455.66251323138</v>
      </c>
      <c r="R38" s="10">
        <f t="shared" si="4"/>
        <v>43782.814926869585</v>
      </c>
      <c r="S38" s="10">
        <f t="shared" si="5"/>
        <v>31728.75363046068</v>
      </c>
      <c r="T38" s="10">
        <f t="shared" si="6"/>
        <v>40887.095519865266</v>
      </c>
      <c r="U38" s="10">
        <f t="shared" si="7"/>
        <v>18829.719276189895</v>
      </c>
      <c r="V38" s="10">
        <f t="shared" si="8"/>
        <v>19387.050234852864</v>
      </c>
      <c r="W38" s="10">
        <f t="shared" si="9"/>
        <v>14720.183562390124</v>
      </c>
      <c r="X38" s="10">
        <f t="shared" si="10"/>
        <v>5265.0339901553398</v>
      </c>
      <c r="Y38" s="10">
        <f t="shared" si="11"/>
        <v>184559.55175342099</v>
      </c>
      <c r="Z38" s="10">
        <f t="shared" si="12"/>
        <v>20351.187094388002</v>
      </c>
      <c r="AA38" s="10">
        <f t="shared" si="13"/>
        <v>21442.316574797424</v>
      </c>
      <c r="AB38" s="10">
        <f t="shared" si="14"/>
        <v>28749.999508416775</v>
      </c>
      <c r="AC38" s="10">
        <f t="shared" si="15"/>
        <v>23290.336766568907</v>
      </c>
      <c r="AD38" s="10">
        <f t="shared" si="16"/>
        <v>23993.367758726374</v>
      </c>
      <c r="AE38" s="10">
        <f t="shared" si="17"/>
        <v>33881.484339743569</v>
      </c>
      <c r="AF38" s="10">
        <f t="shared" si="18"/>
        <v>43270.291930616913</v>
      </c>
      <c r="AG38" s="10">
        <f t="shared" si="19"/>
        <v>8974.7963951484853</v>
      </c>
      <c r="AH38" s="10">
        <f t="shared" si="20"/>
        <v>688569.6457758426</v>
      </c>
      <c r="AJ38">
        <f t="shared" si="21"/>
        <v>3.99254</v>
      </c>
    </row>
    <row r="39" spans="1:36" x14ac:dyDescent="0.4">
      <c r="A39" s="1" t="s">
        <v>46</v>
      </c>
      <c r="B39" s="8">
        <v>29534.896152792051</v>
      </c>
      <c r="C39" s="8">
        <v>477.90322843109834</v>
      </c>
      <c r="D39" s="8">
        <v>58.899046205746991</v>
      </c>
      <c r="E39" s="8">
        <v>62.742462459488067</v>
      </c>
      <c r="F39" s="8">
        <v>747.61096773093834</v>
      </c>
      <c r="G39" s="8">
        <v>10089.69542259517</v>
      </c>
      <c r="H39" s="8">
        <v>262.25788055935726</v>
      </c>
      <c r="I39" s="8">
        <v>5632.6036554695065</v>
      </c>
      <c r="J39" s="8">
        <v>813.09351925021292</v>
      </c>
      <c r="K39" s="8">
        <v>522.73029113848077</v>
      </c>
      <c r="L39" s="7" t="s">
        <v>46</v>
      </c>
      <c r="M39" s="8">
        <f t="shared" si="0"/>
        <v>30134.440889888388</v>
      </c>
      <c r="N39" s="8">
        <f t="shared" si="1"/>
        <v>11099.564270885465</v>
      </c>
      <c r="O39" s="8">
        <f t="shared" si="2"/>
        <v>6968.4274658581999</v>
      </c>
      <c r="P39" s="8"/>
      <c r="Q39" s="10">
        <f t="shared" si="3"/>
        <v>126963.00073169875</v>
      </c>
      <c r="R39" s="10">
        <f t="shared" si="4"/>
        <v>44308.861411574042</v>
      </c>
      <c r="S39" s="10">
        <f t="shared" si="5"/>
        <v>32109.97168003644</v>
      </c>
      <c r="T39" s="10">
        <f t="shared" si="6"/>
        <v>41378.350202871057</v>
      </c>
      <c r="U39" s="10">
        <f t="shared" si="7"/>
        <v>19055.956617250682</v>
      </c>
      <c r="V39" s="10">
        <f t="shared" si="8"/>
        <v>19619.983855997772</v>
      </c>
      <c r="W39" s="10">
        <f t="shared" si="9"/>
        <v>14897.045210736254</v>
      </c>
      <c r="X39" s="10">
        <f t="shared" si="10"/>
        <v>5328.2928881269954</v>
      </c>
      <c r="Y39" s="10">
        <f t="shared" si="11"/>
        <v>186777.01775191107</v>
      </c>
      <c r="Z39" s="10">
        <f t="shared" si="12"/>
        <v>20595.704731009751</v>
      </c>
      <c r="AA39" s="10">
        <f t="shared" si="13"/>
        <v>21699.944031527484</v>
      </c>
      <c r="AB39" s="10">
        <f t="shared" si="14"/>
        <v>29095.428101848214</v>
      </c>
      <c r="AC39" s="10">
        <f t="shared" si="15"/>
        <v>23570.168015521282</v>
      </c>
      <c r="AD39" s="10">
        <f t="shared" si="16"/>
        <v>24281.645860232209</v>
      </c>
      <c r="AE39" s="10">
        <f t="shared" si="17"/>
        <v>34288.567250316162</v>
      </c>
      <c r="AF39" s="10">
        <f t="shared" si="18"/>
        <v>43790.180498774454</v>
      </c>
      <c r="AG39" s="10">
        <f t="shared" si="19"/>
        <v>9082.6277463873648</v>
      </c>
      <c r="AH39" s="10">
        <f t="shared" si="20"/>
        <v>696842.74658581987</v>
      </c>
      <c r="AJ39">
        <f t="shared" si="21"/>
        <v>4.0405100000000003</v>
      </c>
    </row>
    <row r="40" spans="1:36" x14ac:dyDescent="0.4">
      <c r="A40" s="1" t="s">
        <v>47</v>
      </c>
      <c r="B40" s="8">
        <v>30185.678307639602</v>
      </c>
      <c r="C40" s="8">
        <v>488.43351407009459</v>
      </c>
      <c r="D40" s="8">
        <v>60.196848236603898</v>
      </c>
      <c r="E40" s="8">
        <v>64.124951658318963</v>
      </c>
      <c r="F40" s="8">
        <v>764.0840873265056</v>
      </c>
      <c r="G40" s="8">
        <v>10312.015274166792</v>
      </c>
      <c r="H40" s="8">
        <v>268.0365617422276</v>
      </c>
      <c r="I40" s="8">
        <v>5756.7143997682333</v>
      </c>
      <c r="J40" s="8">
        <v>831.00950411817428</v>
      </c>
      <c r="K40" s="8">
        <v>534.24831183885249</v>
      </c>
      <c r="L40" s="7" t="s">
        <v>47</v>
      </c>
      <c r="M40" s="8">
        <f t="shared" si="0"/>
        <v>30798.433621604618</v>
      </c>
      <c r="N40" s="8">
        <f t="shared" si="1"/>
        <v>11344.135923235524</v>
      </c>
      <c r="O40" s="8">
        <f t="shared" si="2"/>
        <v>7121.97221572526</v>
      </c>
      <c r="P40" s="8"/>
      <c r="Q40" s="10">
        <f t="shared" si="3"/>
        <v>129760.54756493098</v>
      </c>
      <c r="R40" s="10">
        <f t="shared" si="4"/>
        <v>45285.17824570449</v>
      </c>
      <c r="S40" s="10">
        <f t="shared" si="5"/>
        <v>32817.493942986817</v>
      </c>
      <c r="T40" s="10">
        <f t="shared" si="6"/>
        <v>42290.095135704192</v>
      </c>
      <c r="U40" s="10">
        <f t="shared" si="7"/>
        <v>19475.842180616157</v>
      </c>
      <c r="V40" s="10">
        <f t="shared" si="8"/>
        <v>20052.297391343429</v>
      </c>
      <c r="W40" s="10">
        <f t="shared" si="9"/>
        <v>15225.291876407629</v>
      </c>
      <c r="X40" s="10">
        <f t="shared" si="10"/>
        <v>5445.6983433368441</v>
      </c>
      <c r="Y40" s="10">
        <f t="shared" si="11"/>
        <v>190892.52740055756</v>
      </c>
      <c r="Z40" s="10">
        <f t="shared" si="12"/>
        <v>21049.517638836187</v>
      </c>
      <c r="AA40" s="10">
        <f t="shared" si="13"/>
        <v>22178.088131437369</v>
      </c>
      <c r="AB40" s="10">
        <f t="shared" si="14"/>
        <v>29736.526865100266</v>
      </c>
      <c r="AC40" s="10">
        <f t="shared" si="15"/>
        <v>24089.521279941331</v>
      </c>
      <c r="AD40" s="10">
        <f t="shared" si="16"/>
        <v>24816.676074471616</v>
      </c>
      <c r="AE40" s="10">
        <f t="shared" si="17"/>
        <v>35044.093444359896</v>
      </c>
      <c r="AF40" s="10">
        <f t="shared" si="18"/>
        <v>44755.068537612591</v>
      </c>
      <c r="AG40" s="10">
        <f t="shared" si="19"/>
        <v>9282.7575191786382</v>
      </c>
      <c r="AH40" s="10">
        <f t="shared" si="20"/>
        <v>712197.22157252603</v>
      </c>
      <c r="AJ40">
        <f t="shared" si="21"/>
        <v>4.1295400000000004</v>
      </c>
    </row>
    <row r="41" spans="1:36" x14ac:dyDescent="0.4">
      <c r="A41" s="1" t="s">
        <v>48</v>
      </c>
      <c r="B41" s="8">
        <v>31184.767434052752</v>
      </c>
      <c r="C41" s="8">
        <v>504.59974389305313</v>
      </c>
      <c r="D41" s="8">
        <v>62.18925059061403</v>
      </c>
      <c r="E41" s="8">
        <v>66.247366840799089</v>
      </c>
      <c r="F41" s="8">
        <v>789.3738322026386</v>
      </c>
      <c r="G41" s="8">
        <v>10653.323567020987</v>
      </c>
      <c r="H41" s="8">
        <v>276.90806734791914</v>
      </c>
      <c r="I41" s="8">
        <v>5947.2508091892141</v>
      </c>
      <c r="J41" s="8">
        <v>858.51435430073002</v>
      </c>
      <c r="K41" s="8">
        <v>551.93092522003633</v>
      </c>
      <c r="L41" s="7" t="s">
        <v>48</v>
      </c>
      <c r="M41" s="8">
        <f t="shared" si="0"/>
        <v>31817.803795377218</v>
      </c>
      <c r="N41" s="8">
        <f t="shared" si="1"/>
        <v>11719.605466571544</v>
      </c>
      <c r="O41" s="8">
        <f t="shared" si="2"/>
        <v>7357.6960887099804</v>
      </c>
      <c r="P41" s="8"/>
      <c r="Q41" s="10">
        <f t="shared" si="3"/>
        <v>134055.37741067036</v>
      </c>
      <c r="R41" s="10">
        <f t="shared" si="4"/>
        <v>46784.032394743575</v>
      </c>
      <c r="S41" s="10">
        <f t="shared" si="5"/>
        <v>33903.6912124472</v>
      </c>
      <c r="T41" s="10">
        <f t="shared" si="6"/>
        <v>43689.817672148449</v>
      </c>
      <c r="U41" s="10">
        <f t="shared" si="7"/>
        <v>20120.455892856888</v>
      </c>
      <c r="V41" s="10">
        <f t="shared" si="8"/>
        <v>20715.990685862624</v>
      </c>
      <c r="W41" s="10">
        <f t="shared" si="9"/>
        <v>15729.220375385088</v>
      </c>
      <c r="X41" s="10">
        <f t="shared" si="10"/>
        <v>5625.9407067882876</v>
      </c>
      <c r="Y41" s="10">
        <f t="shared" si="11"/>
        <v>197210.71069581757</v>
      </c>
      <c r="Z41" s="10">
        <f t="shared" si="12"/>
        <v>21746.217046246242</v>
      </c>
      <c r="AA41" s="10">
        <f t="shared" si="13"/>
        <v>22912.141097580046</v>
      </c>
      <c r="AB41" s="10">
        <f t="shared" si="14"/>
        <v>30720.749924308282</v>
      </c>
      <c r="AC41" s="10">
        <f t="shared" si="15"/>
        <v>24886.83908496135</v>
      </c>
      <c r="AD41" s="10">
        <f t="shared" si="16"/>
        <v>25638.061334296865</v>
      </c>
      <c r="AE41" s="10">
        <f t="shared" si="17"/>
        <v>36203.986965666161</v>
      </c>
      <c r="AF41" s="10">
        <f t="shared" si="18"/>
        <v>46236.377053263452</v>
      </c>
      <c r="AG41" s="10">
        <f t="shared" si="19"/>
        <v>9589.9993179555786</v>
      </c>
      <c r="AH41" s="10">
        <f t="shared" si="20"/>
        <v>735769.60887099802</v>
      </c>
      <c r="AJ41">
        <f t="shared" si="21"/>
        <v>4.2662199999999997</v>
      </c>
    </row>
    <row r="42" spans="1:36" x14ac:dyDescent="0.4">
      <c r="A42" s="1" t="s">
        <v>49</v>
      </c>
      <c r="B42" s="8">
        <v>29710.182641315518</v>
      </c>
      <c r="C42" s="8">
        <v>480.73953360489514</v>
      </c>
      <c r="D42" s="8">
        <v>59.248605822729452</v>
      </c>
      <c r="E42" s="8">
        <v>63.114832345907978</v>
      </c>
      <c r="F42" s="8">
        <v>752.04795984485156</v>
      </c>
      <c r="G42" s="8">
        <v>10149.576699026569</v>
      </c>
      <c r="H42" s="8">
        <v>263.81435337487147</v>
      </c>
      <c r="I42" s="8">
        <v>5666.0325631217975</v>
      </c>
      <c r="J42" s="8">
        <v>817.9191433896458</v>
      </c>
      <c r="K42" s="8">
        <v>525.83264019379817</v>
      </c>
      <c r="L42" s="7" t="s">
        <v>49</v>
      </c>
      <c r="M42" s="8">
        <f t="shared" si="0"/>
        <v>30313.28561308905</v>
      </c>
      <c r="N42" s="8">
        <f t="shared" si="1"/>
        <v>11165.439012246292</v>
      </c>
      <c r="O42" s="8">
        <f t="shared" si="2"/>
        <v>7009.7843467052417</v>
      </c>
      <c r="P42" s="8"/>
      <c r="Q42" s="10">
        <f t="shared" si="3"/>
        <v>127716.51272833931</v>
      </c>
      <c r="R42" s="10">
        <f t="shared" si="4"/>
        <v>44571.829823148211</v>
      </c>
      <c r="S42" s="10">
        <f t="shared" si="5"/>
        <v>32300.540969776415</v>
      </c>
      <c r="T42" s="10">
        <f t="shared" si="6"/>
        <v>41623.926340008416</v>
      </c>
      <c r="U42" s="10">
        <f t="shared" si="7"/>
        <v>19169.051706653176</v>
      </c>
      <c r="V42" s="10">
        <f t="shared" si="8"/>
        <v>19736.426387476924</v>
      </c>
      <c r="W42" s="10">
        <f t="shared" si="9"/>
        <v>14985.457600299318</v>
      </c>
      <c r="X42" s="10">
        <f t="shared" si="10"/>
        <v>5359.915743523291</v>
      </c>
      <c r="Y42" s="10">
        <f t="shared" si="11"/>
        <v>187885.51962065804</v>
      </c>
      <c r="Z42" s="10">
        <f t="shared" si="12"/>
        <v>20717.938062804405</v>
      </c>
      <c r="AA42" s="10">
        <f t="shared" si="13"/>
        <v>21828.730906915993</v>
      </c>
      <c r="AB42" s="10">
        <f t="shared" si="14"/>
        <v>29268.106393915881</v>
      </c>
      <c r="AC42" s="10">
        <f t="shared" si="15"/>
        <v>23710.054472679465</v>
      </c>
      <c r="AD42" s="10">
        <f t="shared" si="16"/>
        <v>24425.754863236376</v>
      </c>
      <c r="AE42" s="10">
        <f t="shared" si="17"/>
        <v>34492.066274613244</v>
      </c>
      <c r="AF42" s="10">
        <f t="shared" si="18"/>
        <v>44050.070593925964</v>
      </c>
      <c r="AG42" s="10">
        <f t="shared" si="19"/>
        <v>9136.5321825497231</v>
      </c>
      <c r="AH42" s="10">
        <f t="shared" si="20"/>
        <v>700978.43467052409</v>
      </c>
      <c r="AJ42">
        <f t="shared" si="21"/>
        <v>4.0644900000000002</v>
      </c>
    </row>
    <row r="43" spans="1:36" x14ac:dyDescent="0.4">
      <c r="A43" s="1" t="s">
        <v>50</v>
      </c>
      <c r="B43" s="8">
        <v>31140.105196985267</v>
      </c>
      <c r="C43" s="8">
        <v>503.87706563567622</v>
      </c>
      <c r="D43" s="8">
        <v>62.100184316228592</v>
      </c>
      <c r="E43" s="8">
        <v>66.152488608687932</v>
      </c>
      <c r="F43" s="8">
        <v>788.24330585501514</v>
      </c>
      <c r="G43" s="8">
        <v>10638.066077488216</v>
      </c>
      <c r="H43" s="8">
        <v>276.51148482486701</v>
      </c>
      <c r="I43" s="8">
        <v>5938.7332684988269</v>
      </c>
      <c r="J43" s="8">
        <v>857.28480619848096</v>
      </c>
      <c r="K43" s="8">
        <v>551.14046013546636</v>
      </c>
      <c r="L43" s="7" t="s">
        <v>50</v>
      </c>
      <c r="M43" s="8">
        <f t="shared" si="0"/>
        <v>31772.234935545861</v>
      </c>
      <c r="N43" s="8">
        <f t="shared" si="1"/>
        <v>11702.820868168099</v>
      </c>
      <c r="O43" s="8">
        <f t="shared" si="2"/>
        <v>7347.1585348327735</v>
      </c>
      <c r="P43" s="8"/>
      <c r="Q43" s="10">
        <f t="shared" si="3"/>
        <v>133863.38582186829</v>
      </c>
      <c r="R43" s="10">
        <f t="shared" si="4"/>
        <v>46717.029183954663</v>
      </c>
      <c r="S43" s="10">
        <f t="shared" si="5"/>
        <v>33855.134983910451</v>
      </c>
      <c r="T43" s="10">
        <f t="shared" si="6"/>
        <v>43627.245937456653</v>
      </c>
      <c r="U43" s="10">
        <f t="shared" si="7"/>
        <v>20091.639754564592</v>
      </c>
      <c r="V43" s="10">
        <f t="shared" si="8"/>
        <v>20686.321633846877</v>
      </c>
      <c r="W43" s="10">
        <f t="shared" si="9"/>
        <v>15706.693281964308</v>
      </c>
      <c r="X43" s="10">
        <f t="shared" si="10"/>
        <v>5617.8833403799745</v>
      </c>
      <c r="Y43" s="10">
        <f t="shared" si="11"/>
        <v>196928.26922717522</v>
      </c>
      <c r="Z43" s="10">
        <f t="shared" si="12"/>
        <v>21715.0725234245</v>
      </c>
      <c r="AA43" s="10">
        <f t="shared" si="13"/>
        <v>22879.326760272968</v>
      </c>
      <c r="AB43" s="10">
        <f t="shared" si="14"/>
        <v>30676.752244386123</v>
      </c>
      <c r="AC43" s="10">
        <f t="shared" si="15"/>
        <v>24851.19662235766</v>
      </c>
      <c r="AD43" s="10">
        <f t="shared" si="16"/>
        <v>25601.34298532458</v>
      </c>
      <c r="AE43" s="10">
        <f t="shared" si="17"/>
        <v>36152.136296839846</v>
      </c>
      <c r="AF43" s="10">
        <f t="shared" si="18"/>
        <v>46170.158184148539</v>
      </c>
      <c r="AG43" s="10">
        <f t="shared" si="19"/>
        <v>9576.2647014021168</v>
      </c>
      <c r="AH43" s="10">
        <f t="shared" si="20"/>
        <v>734715.85348327737</v>
      </c>
      <c r="AJ43">
        <f t="shared" si="21"/>
        <v>4.2601100000000001</v>
      </c>
    </row>
    <row r="44" spans="1:36" x14ac:dyDescent="0.4">
      <c r="A44" s="1" t="s">
        <v>51</v>
      </c>
      <c r="B44" s="8">
        <v>27961.703573141484</v>
      </c>
      <c r="C44" s="8">
        <v>452.44744863524556</v>
      </c>
      <c r="D44" s="8">
        <v>55.761755931895202</v>
      </c>
      <c r="E44" s="8">
        <v>59.400450493045454</v>
      </c>
      <c r="F44" s="8">
        <v>707.78905602299722</v>
      </c>
      <c r="G44" s="8">
        <v>9552.2622151904288</v>
      </c>
      <c r="H44" s="8">
        <v>248.28856949367866</v>
      </c>
      <c r="I44" s="8">
        <v>5332.5799063066161</v>
      </c>
      <c r="J44" s="8">
        <v>769.78364321648667</v>
      </c>
      <c r="K44" s="8">
        <v>494.88677305318362</v>
      </c>
      <c r="L44" s="7" t="s">
        <v>51</v>
      </c>
      <c r="M44" s="8">
        <f t="shared" si="0"/>
        <v>28529.31322820167</v>
      </c>
      <c r="N44" s="8">
        <f t="shared" si="1"/>
        <v>10508.339840707105</v>
      </c>
      <c r="O44" s="8">
        <f t="shared" si="2"/>
        <v>6597.2503225762866</v>
      </c>
      <c r="P44" s="8"/>
      <c r="Q44" s="10">
        <f t="shared" si="3"/>
        <v>120200.24627310906</v>
      </c>
      <c r="R44" s="10">
        <f t="shared" si="4"/>
        <v>41948.725400773677</v>
      </c>
      <c r="S44" s="10">
        <f t="shared" si="5"/>
        <v>30399.616278124937</v>
      </c>
      <c r="T44" s="10">
        <f t="shared" si="6"/>
        <v>39174.309492499866</v>
      </c>
      <c r="U44" s="10">
        <f t="shared" si="7"/>
        <v>18040.930547976088</v>
      </c>
      <c r="V44" s="10">
        <f t="shared" si="8"/>
        <v>18574.914563881717</v>
      </c>
      <c r="W44" s="10">
        <f t="shared" si="9"/>
        <v>14103.545857868754</v>
      </c>
      <c r="X44" s="10">
        <f t="shared" si="10"/>
        <v>5044.4784203041972</v>
      </c>
      <c r="Y44" s="10">
        <f t="shared" si="11"/>
        <v>176828.23659295679</v>
      </c>
      <c r="Z44" s="10">
        <f t="shared" si="12"/>
        <v>19498.66312680436</v>
      </c>
      <c r="AA44" s="10">
        <f t="shared" si="13"/>
        <v>20544.084510213255</v>
      </c>
      <c r="AB44" s="10">
        <f t="shared" si="14"/>
        <v>27545.644031005726</v>
      </c>
      <c r="AC44" s="10">
        <f t="shared" si="15"/>
        <v>22314.689979258412</v>
      </c>
      <c r="AD44" s="10">
        <f t="shared" si="16"/>
        <v>22988.27056304468</v>
      </c>
      <c r="AE44" s="10">
        <f t="shared" si="17"/>
        <v>32462.167750348817</v>
      </c>
      <c r="AF44" s="10">
        <f t="shared" si="18"/>
        <v>41457.672313682408</v>
      </c>
      <c r="AG44" s="10">
        <f t="shared" si="19"/>
        <v>8598.8365557759098</v>
      </c>
      <c r="AH44" s="10">
        <f t="shared" si="20"/>
        <v>659725.03225762863</v>
      </c>
      <c r="AJ44">
        <f t="shared" si="21"/>
        <v>3.8252899999999999</v>
      </c>
    </row>
    <row r="45" spans="1:36" x14ac:dyDescent="0.4">
      <c r="A45" s="1" t="s">
        <v>52</v>
      </c>
      <c r="B45" s="8">
        <v>23939.982425488179</v>
      </c>
      <c r="C45" s="8">
        <v>387.37210486663565</v>
      </c>
      <c r="D45" s="8">
        <v>47.741563869026919</v>
      </c>
      <c r="E45" s="8">
        <v>50.856906380894827</v>
      </c>
      <c r="F45" s="8">
        <v>605.98802636686855</v>
      </c>
      <c r="G45" s="8">
        <v>8178.3639883434134</v>
      </c>
      <c r="H45" s="8">
        <v>212.57731935323781</v>
      </c>
      <c r="I45" s="8">
        <v>4565.5969746463143</v>
      </c>
      <c r="J45" s="8">
        <v>659.06595575716233</v>
      </c>
      <c r="K45" s="8">
        <v>423.7073974591421</v>
      </c>
      <c r="L45" s="7" t="s">
        <v>52</v>
      </c>
      <c r="M45" s="8">
        <f t="shared" si="0"/>
        <v>24425.953000604732</v>
      </c>
      <c r="N45" s="8">
        <f t="shared" si="1"/>
        <v>8996.9293340635213</v>
      </c>
      <c r="O45" s="8">
        <f t="shared" si="2"/>
        <v>5648.370327862619</v>
      </c>
      <c r="P45" s="8"/>
      <c r="Q45" s="10">
        <f t="shared" si="3"/>
        <v>102911.89075052075</v>
      </c>
      <c r="R45" s="10">
        <f t="shared" si="4"/>
        <v>35915.256244643904</v>
      </c>
      <c r="S45" s="10">
        <f t="shared" si="5"/>
        <v>26027.25107703912</v>
      </c>
      <c r="T45" s="10">
        <f t="shared" si="6"/>
        <v>33539.883517036964</v>
      </c>
      <c r="U45" s="10">
        <f t="shared" si="7"/>
        <v>15446.110396251392</v>
      </c>
      <c r="V45" s="10">
        <f t="shared" si="8"/>
        <v>15903.291695052927</v>
      </c>
      <c r="W45" s="10">
        <f t="shared" si="9"/>
        <v>12075.038242618457</v>
      </c>
      <c r="X45" s="10">
        <f t="shared" si="10"/>
        <v>4318.9330153630908</v>
      </c>
      <c r="Y45" s="10">
        <f t="shared" si="11"/>
        <v>151395.09884625554</v>
      </c>
      <c r="Z45" s="10">
        <f t="shared" si="12"/>
        <v>16694.177854906939</v>
      </c>
      <c r="AA45" s="10">
        <f t="shared" si="13"/>
        <v>17589.236679937843</v>
      </c>
      <c r="AB45" s="10">
        <f t="shared" si="14"/>
        <v>23583.764568424056</v>
      </c>
      <c r="AC45" s="10">
        <f t="shared" si="15"/>
        <v>19105.176640481957</v>
      </c>
      <c r="AD45" s="10">
        <f t="shared" si="16"/>
        <v>19681.876386111286</v>
      </c>
      <c r="AE45" s="10">
        <f t="shared" si="17"/>
        <v>27793.146558605342</v>
      </c>
      <c r="AF45" s="10">
        <f t="shared" si="18"/>
        <v>35494.831135558685</v>
      </c>
      <c r="AG45" s="10">
        <f t="shared" si="19"/>
        <v>7362.0691774536526</v>
      </c>
      <c r="AH45" s="10">
        <f t="shared" si="20"/>
        <v>564837.03278626199</v>
      </c>
      <c r="AJ45">
        <f t="shared" si="21"/>
        <v>3.2751000000000001</v>
      </c>
    </row>
    <row r="46" spans="1:36" x14ac:dyDescent="0.4">
      <c r="A46" s="1" t="s">
        <v>53</v>
      </c>
      <c r="B46" s="8">
        <v>20507.203412127441</v>
      </c>
      <c r="C46" s="8">
        <v>331.82641530373093</v>
      </c>
      <c r="D46" s="8">
        <v>40.895851303251092</v>
      </c>
      <c r="E46" s="8">
        <v>43.564481607728872</v>
      </c>
      <c r="F46" s="8">
        <v>519.09477213267451</v>
      </c>
      <c r="G46" s="8">
        <v>7005.6598583303348</v>
      </c>
      <c r="H46" s="8">
        <v>182.09563613297965</v>
      </c>
      <c r="I46" s="8">
        <v>3910.9312694057407</v>
      </c>
      <c r="J46" s="8">
        <v>564.56180194730052</v>
      </c>
      <c r="K46" s="8">
        <v>362.95155244837531</v>
      </c>
      <c r="L46" s="7" t="s">
        <v>53</v>
      </c>
      <c r="M46" s="8">
        <f t="shared" si="0"/>
        <v>20923.490160342153</v>
      </c>
      <c r="N46" s="8">
        <f t="shared" si="1"/>
        <v>7706.8502665959895</v>
      </c>
      <c r="O46" s="8">
        <f t="shared" si="2"/>
        <v>4838.4446238014161</v>
      </c>
      <c r="P46" s="8"/>
      <c r="Q46" s="10">
        <f t="shared" si="3"/>
        <v>88155.247553592533</v>
      </c>
      <c r="R46" s="10">
        <f t="shared" si="4"/>
        <v>30765.330246167618</v>
      </c>
      <c r="S46" s="10">
        <f t="shared" si="5"/>
        <v>22295.176437852799</v>
      </c>
      <c r="T46" s="10">
        <f t="shared" si="6"/>
        <v>28730.564687910854</v>
      </c>
      <c r="U46" s="10">
        <f t="shared" si="7"/>
        <v>13231.27653948745</v>
      </c>
      <c r="V46" s="10">
        <f t="shared" si="8"/>
        <v>13622.902135701836</v>
      </c>
      <c r="W46" s="10">
        <f t="shared" si="9"/>
        <v>10343.585932918453</v>
      </c>
      <c r="X46" s="10">
        <f t="shared" si="10"/>
        <v>3699.6367121433977</v>
      </c>
      <c r="Y46" s="10">
        <f t="shared" si="11"/>
        <v>129686.39794546516</v>
      </c>
      <c r="Z46" s="10">
        <f t="shared" si="12"/>
        <v>14300.382305390465</v>
      </c>
      <c r="AA46" s="10">
        <f t="shared" si="13"/>
        <v>15067.097713300973</v>
      </c>
      <c r="AB46" s="10">
        <f t="shared" si="14"/>
        <v>20202.064004586828</v>
      </c>
      <c r="AC46" s="10">
        <f t="shared" si="15"/>
        <v>16365.665464058902</v>
      </c>
      <c r="AD46" s="10">
        <f t="shared" si="16"/>
        <v>16859.671632532587</v>
      </c>
      <c r="AE46" s="10">
        <f t="shared" si="17"/>
        <v>23807.85832714607</v>
      </c>
      <c r="AF46" s="10">
        <f t="shared" si="18"/>
        <v>30405.19033134474</v>
      </c>
      <c r="AG46" s="10">
        <f t="shared" si="19"/>
        <v>6306.4144105409514</v>
      </c>
      <c r="AH46" s="10">
        <f t="shared" si="20"/>
        <v>483844.46238014166</v>
      </c>
      <c r="AJ46">
        <f t="shared" si="21"/>
        <v>2.8054800000000002</v>
      </c>
    </row>
    <row r="47" spans="1:36" x14ac:dyDescent="0.4">
      <c r="A47" s="1" t="s">
        <v>54</v>
      </c>
      <c r="B47" s="8">
        <v>21156.889112709829</v>
      </c>
      <c r="C47" s="8">
        <v>342.33895925064746</v>
      </c>
      <c r="D47" s="8">
        <v>42.191466764360399</v>
      </c>
      <c r="E47" s="8">
        <v>44.94464155372561</v>
      </c>
      <c r="F47" s="8">
        <v>535.54013739892196</v>
      </c>
      <c r="G47" s="8">
        <v>7227.6051397824913</v>
      </c>
      <c r="H47" s="8">
        <v>187.86458124736262</v>
      </c>
      <c r="I47" s="8">
        <v>4034.8329087775351</v>
      </c>
      <c r="J47" s="8">
        <v>582.44760150996922</v>
      </c>
      <c r="K47" s="8">
        <v>374.450167295607</v>
      </c>
      <c r="L47" s="7" t="s">
        <v>54</v>
      </c>
      <c r="M47" s="8">
        <f t="shared" si="0"/>
        <v>21586.364180278561</v>
      </c>
      <c r="N47" s="8">
        <f t="shared" si="1"/>
        <v>7951.0098584287753</v>
      </c>
      <c r="O47" s="8">
        <f t="shared" si="2"/>
        <v>4991.7306775831112</v>
      </c>
      <c r="P47" s="8"/>
      <c r="Q47" s="10">
        <f t="shared" si="3"/>
        <v>90948.081009030924</v>
      </c>
      <c r="R47" s="10">
        <f t="shared" si="4"/>
        <v>31740.002156956281</v>
      </c>
      <c r="S47" s="10">
        <f t="shared" si="5"/>
        <v>23001.506649366107</v>
      </c>
      <c r="T47" s="10">
        <f t="shared" si="6"/>
        <v>29640.773489777741</v>
      </c>
      <c r="U47" s="10">
        <f t="shared" si="7"/>
        <v>13650.45466901596</v>
      </c>
      <c r="V47" s="10">
        <f t="shared" si="8"/>
        <v>14054.487298248414</v>
      </c>
      <c r="W47" s="10">
        <f t="shared" si="9"/>
        <v>10671.27956028981</v>
      </c>
      <c r="X47" s="10">
        <f t="shared" si="10"/>
        <v>3816.8443596672814</v>
      </c>
      <c r="Y47" s="10">
        <f t="shared" si="11"/>
        <v>133794.97367916952</v>
      </c>
      <c r="Z47" s="10">
        <f t="shared" si="12"/>
        <v>14753.430617730281</v>
      </c>
      <c r="AA47" s="10">
        <f t="shared" si="13"/>
        <v>15544.436223915267</v>
      </c>
      <c r="AB47" s="10">
        <f t="shared" si="14"/>
        <v>20842.082628397253</v>
      </c>
      <c r="AC47" s="10">
        <f t="shared" si="15"/>
        <v>16884.143708938765</v>
      </c>
      <c r="AD47" s="10">
        <f t="shared" si="16"/>
        <v>17393.800414309502</v>
      </c>
      <c r="AE47" s="10">
        <f t="shared" si="17"/>
        <v>24562.111591513218</v>
      </c>
      <c r="AF47" s="10">
        <f t="shared" si="18"/>
        <v>31368.452702365001</v>
      </c>
      <c r="AG47" s="10">
        <f t="shared" si="19"/>
        <v>6506.2069996197833</v>
      </c>
      <c r="AH47" s="10">
        <f t="shared" si="20"/>
        <v>499173.06775831111</v>
      </c>
      <c r="AJ47">
        <f t="shared" si="21"/>
        <v>2.8943599999999998</v>
      </c>
    </row>
    <row r="48" spans="1:36" x14ac:dyDescent="0.4">
      <c r="A48" s="1" t="s">
        <v>55</v>
      </c>
      <c r="B48" s="8">
        <v>40047.407259335385</v>
      </c>
      <c r="C48" s="8">
        <v>648.0058409727003</v>
      </c>
      <c r="D48" s="8">
        <v>79.863293860438375</v>
      </c>
      <c r="E48" s="8">
        <v>85.074717499257133</v>
      </c>
      <c r="F48" s="8">
        <v>1013.7120760939732</v>
      </c>
      <c r="G48" s="8">
        <v>13680.973842636075</v>
      </c>
      <c r="H48" s="8">
        <v>355.60470893133134</v>
      </c>
      <c r="I48" s="8">
        <v>7637.4459335853935</v>
      </c>
      <c r="J48" s="8">
        <v>1102.5021769802731</v>
      </c>
      <c r="K48" s="8">
        <v>708.78843615079791</v>
      </c>
      <c r="L48" s="7" t="s">
        <v>55</v>
      </c>
      <c r="M48" s="8">
        <f t="shared" si="0"/>
        <v>40860.351111667776</v>
      </c>
      <c r="N48" s="8">
        <f t="shared" si="1"/>
        <v>15050.290627661378</v>
      </c>
      <c r="O48" s="8">
        <f t="shared" si="2"/>
        <v>9448.7365467164655</v>
      </c>
      <c r="P48" s="8"/>
      <c r="Q48" s="10">
        <f t="shared" si="3"/>
        <v>172153.61011821183</v>
      </c>
      <c r="R48" s="10">
        <f t="shared" si="4"/>
        <v>60079.947766432546</v>
      </c>
      <c r="S48" s="10">
        <f t="shared" si="5"/>
        <v>43539.042978303543</v>
      </c>
      <c r="T48" s="10">
        <f t="shared" si="6"/>
        <v>56106.36427232295</v>
      </c>
      <c r="U48" s="10">
        <f t="shared" si="7"/>
        <v>25838.643597029288</v>
      </c>
      <c r="V48" s="10">
        <f t="shared" si="8"/>
        <v>26603.428020804135</v>
      </c>
      <c r="W48" s="10">
        <f t="shared" si="9"/>
        <v>20199.428954440009</v>
      </c>
      <c r="X48" s="10">
        <f t="shared" si="10"/>
        <v>7224.8202324445992</v>
      </c>
      <c r="Y48" s="10">
        <f t="shared" si="11"/>
        <v>253257.54517297636</v>
      </c>
      <c r="Z48" s="10">
        <f t="shared" si="12"/>
        <v>27926.442364612685</v>
      </c>
      <c r="AA48" s="10">
        <f t="shared" si="13"/>
        <v>29423.719373843571</v>
      </c>
      <c r="AB48" s="10">
        <f t="shared" si="14"/>
        <v>39451.517030957169</v>
      </c>
      <c r="AC48" s="10">
        <f t="shared" si="15"/>
        <v>31959.622028307316</v>
      </c>
      <c r="AD48" s="10">
        <f t="shared" si="16"/>
        <v>32924.339928642272</v>
      </c>
      <c r="AE48" s="10">
        <f t="shared" si="17"/>
        <v>46493.077541520666</v>
      </c>
      <c r="AF48" s="10">
        <f t="shared" si="18"/>
        <v>59376.6500251752</v>
      </c>
      <c r="AG48" s="10">
        <f t="shared" si="19"/>
        <v>12315.455265622426</v>
      </c>
      <c r="AH48" s="10">
        <f t="shared" si="20"/>
        <v>944873.65467164654</v>
      </c>
      <c r="AJ48">
        <f t="shared" si="21"/>
        <v>5.4786700000000002</v>
      </c>
    </row>
    <row r="49" spans="1:36" x14ac:dyDescent="0.4">
      <c r="A49" s="1" t="s">
        <v>56</v>
      </c>
      <c r="B49" s="8">
        <v>288592.24486125383</v>
      </c>
      <c r="C49" s="8">
        <v>4669.7020638189451</v>
      </c>
      <c r="D49" s="8">
        <v>575.51609041619633</v>
      </c>
      <c r="E49" s="8">
        <v>613.07099221321891</v>
      </c>
      <c r="F49" s="8">
        <v>7305.0782485981326</v>
      </c>
      <c r="G49" s="8">
        <v>98588.728293117529</v>
      </c>
      <c r="H49" s="8">
        <v>2562.5819062182354</v>
      </c>
      <c r="I49" s="8">
        <v>55037.462293294091</v>
      </c>
      <c r="J49" s="8">
        <v>7944.9232795211101</v>
      </c>
      <c r="K49" s="8">
        <v>5107.7175757183059</v>
      </c>
      <c r="L49" s="7" t="s">
        <v>56</v>
      </c>
      <c r="M49" s="8">
        <f t="shared" si="0"/>
        <v>294450.53400770214</v>
      </c>
      <c r="N49" s="8">
        <f t="shared" si="1"/>
        <v>108456.3884479339</v>
      </c>
      <c r="O49" s="8">
        <f t="shared" si="2"/>
        <v>68090.103148533497</v>
      </c>
      <c r="P49" s="8"/>
      <c r="Q49" s="10">
        <f t="shared" si="3"/>
        <v>1240584.6022254652</v>
      </c>
      <c r="R49" s="10">
        <f t="shared" si="4"/>
        <v>432952.04817584949</v>
      </c>
      <c r="S49" s="10">
        <f t="shared" si="5"/>
        <v>313753.89849464508</v>
      </c>
      <c r="T49" s="10">
        <f t="shared" si="6"/>
        <v>404317.35097104113</v>
      </c>
      <c r="U49" s="10">
        <f t="shared" si="7"/>
        <v>186200.12305786143</v>
      </c>
      <c r="V49" s="10">
        <f t="shared" si="8"/>
        <v>191711.36258113058</v>
      </c>
      <c r="W49" s="10">
        <f t="shared" si="9"/>
        <v>145562.44575654442</v>
      </c>
      <c r="X49" s="10">
        <f t="shared" si="10"/>
        <v>52063.97198445737</v>
      </c>
      <c r="Y49" s="10">
        <f t="shared" si="11"/>
        <v>1825041.0823407841</v>
      </c>
      <c r="Z49" s="10">
        <f t="shared" si="12"/>
        <v>201245.35505636988</v>
      </c>
      <c r="AA49" s="10">
        <f t="shared" si="13"/>
        <v>212035.13054607675</v>
      </c>
      <c r="AB49" s="10">
        <f t="shared" si="14"/>
        <v>284298.10173271288</v>
      </c>
      <c r="AC49" s="10">
        <f t="shared" si="15"/>
        <v>230309.51807538941</v>
      </c>
      <c r="AD49" s="10">
        <f t="shared" si="16"/>
        <v>237261.53129094164</v>
      </c>
      <c r="AE49" s="10">
        <f t="shared" si="17"/>
        <v>335041.45552613895</v>
      </c>
      <c r="AF49" s="10">
        <f t="shared" si="18"/>
        <v>427883.89800470468</v>
      </c>
      <c r="AG49" s="10">
        <f t="shared" si="19"/>
        <v>88748.439033236617</v>
      </c>
      <c r="AH49" s="10">
        <f t="shared" si="20"/>
        <v>6809010.3148533506</v>
      </c>
      <c r="AJ49">
        <f t="shared" si="21"/>
        <v>39.48075</v>
      </c>
    </row>
    <row r="50" spans="1:36" x14ac:dyDescent="0.4">
      <c r="A50" s="1" t="s">
        <v>57</v>
      </c>
      <c r="B50" s="8">
        <v>226157.2882219938</v>
      </c>
      <c r="C50" s="8">
        <v>3659.4439884054204</v>
      </c>
      <c r="D50" s="8">
        <v>451.00712390669497</v>
      </c>
      <c r="E50" s="8">
        <v>480.43727977918297</v>
      </c>
      <c r="F50" s="8">
        <v>5724.6745758767784</v>
      </c>
      <c r="G50" s="8">
        <v>77259.731808614291</v>
      </c>
      <c r="H50" s="8">
        <v>2008.1848527693173</v>
      </c>
      <c r="I50" s="8">
        <v>43130.484080942013</v>
      </c>
      <c r="J50" s="8">
        <v>6226.0935143705283</v>
      </c>
      <c r="K50" s="8">
        <v>4002.6978427075455</v>
      </c>
      <c r="L50" s="7" t="s">
        <v>57</v>
      </c>
      <c r="M50" s="8">
        <f t="shared" si="0"/>
        <v>230748.1766140851</v>
      </c>
      <c r="N50" s="8">
        <f t="shared" si="1"/>
        <v>84992.591237260393</v>
      </c>
      <c r="O50" s="8">
        <f t="shared" si="2"/>
        <v>53359.275438020086</v>
      </c>
      <c r="P50" s="8"/>
      <c r="Q50" s="10">
        <f t="shared" si="3"/>
        <v>972192.615862426</v>
      </c>
      <c r="R50" s="10">
        <f t="shared" si="4"/>
        <v>339285.83629363554</v>
      </c>
      <c r="S50" s="10">
        <f t="shared" si="5"/>
        <v>245875.39033400538</v>
      </c>
      <c r="T50" s="10">
        <f t="shared" si="6"/>
        <v>316846.05981242482</v>
      </c>
      <c r="U50" s="10">
        <f t="shared" si="7"/>
        <v>145917.00105320889</v>
      </c>
      <c r="V50" s="10">
        <f t="shared" si="8"/>
        <v>150235.92163239373</v>
      </c>
      <c r="W50" s="10">
        <f t="shared" si="9"/>
        <v>114071.00705387309</v>
      </c>
      <c r="X50" s="10">
        <f t="shared" si="10"/>
        <v>40800.28804561821</v>
      </c>
      <c r="Y50" s="10">
        <f t="shared" si="11"/>
        <v>1430205.9373576026</v>
      </c>
      <c r="Z50" s="10">
        <f t="shared" si="12"/>
        <v>157707.30009984231</v>
      </c>
      <c r="AA50" s="10">
        <f t="shared" si="13"/>
        <v>166162.78152294637</v>
      </c>
      <c r="AB50" s="10">
        <f t="shared" si="14"/>
        <v>222792.1535640794</v>
      </c>
      <c r="AC50" s="10">
        <f t="shared" si="15"/>
        <v>180483.63040623546</v>
      </c>
      <c r="AD50" s="10">
        <f t="shared" si="16"/>
        <v>185931.62315208573</v>
      </c>
      <c r="AE50" s="10">
        <f t="shared" si="17"/>
        <v>262557.53012410359</v>
      </c>
      <c r="AF50" s="10">
        <f t="shared" si="18"/>
        <v>335314.14571837767</v>
      </c>
      <c r="AG50" s="10">
        <f t="shared" si="19"/>
        <v>69548.32176914977</v>
      </c>
      <c r="AH50" s="10">
        <f t="shared" si="20"/>
        <v>5335927.543802009</v>
      </c>
      <c r="AJ50">
        <f t="shared" si="21"/>
        <v>30.939360000000001</v>
      </c>
    </row>
    <row r="51" spans="1:36" x14ac:dyDescent="0.4">
      <c r="A51" s="1" t="s">
        <v>58</v>
      </c>
      <c r="B51" s="8">
        <v>118844.23921891057</v>
      </c>
      <c r="C51" s="8">
        <v>1923.0149078342354</v>
      </c>
      <c r="D51" s="8">
        <v>237.00142031411011</v>
      </c>
      <c r="E51" s="8">
        <v>252.46678299270118</v>
      </c>
      <c r="F51" s="8">
        <v>3008.2806532332293</v>
      </c>
      <c r="G51" s="8">
        <v>40599.50542048856</v>
      </c>
      <c r="H51" s="8">
        <v>1055.2885689186453</v>
      </c>
      <c r="I51" s="8">
        <v>22664.799388253374</v>
      </c>
      <c r="J51" s="8">
        <v>3271.7731665355191</v>
      </c>
      <c r="K51" s="8">
        <v>2103.3926595052408</v>
      </c>
      <c r="L51" s="7" t="s">
        <v>58</v>
      </c>
      <c r="M51" s="8">
        <f t="shared" si="0"/>
        <v>121256.72233005162</v>
      </c>
      <c r="N51" s="8">
        <f t="shared" si="1"/>
        <v>44663.074642640437</v>
      </c>
      <c r="O51" s="8">
        <f t="shared" si="2"/>
        <v>28039.965214294134</v>
      </c>
      <c r="P51" s="8"/>
      <c r="Q51" s="10">
        <f t="shared" si="3"/>
        <v>510881.1337222975</v>
      </c>
      <c r="R51" s="10">
        <f t="shared" si="4"/>
        <v>178292.58304728658</v>
      </c>
      <c r="S51" s="10">
        <f t="shared" si="5"/>
        <v>129205.9784437043</v>
      </c>
      <c r="T51" s="10">
        <f t="shared" si="6"/>
        <v>166500.62097912564</v>
      </c>
      <c r="U51" s="10">
        <f t="shared" si="7"/>
        <v>76678.47061489099</v>
      </c>
      <c r="V51" s="10">
        <f t="shared" si="8"/>
        <v>78948.03634286474</v>
      </c>
      <c r="W51" s="10">
        <f t="shared" si="9"/>
        <v>59943.600123757329</v>
      </c>
      <c r="X51" s="10">
        <f t="shared" si="10"/>
        <v>21440.29595868825</v>
      </c>
      <c r="Y51" s="10">
        <f t="shared" si="11"/>
        <v>751564.26701044699</v>
      </c>
      <c r="Z51" s="10">
        <f t="shared" si="12"/>
        <v>82874.19895677481</v>
      </c>
      <c r="AA51" s="10">
        <f t="shared" si="13"/>
        <v>87317.501513409865</v>
      </c>
      <c r="AB51" s="10">
        <f t="shared" si="14"/>
        <v>117075.88202187672</v>
      </c>
      <c r="AC51" s="10">
        <f t="shared" si="15"/>
        <v>94843.017953246454</v>
      </c>
      <c r="AD51" s="10">
        <f t="shared" si="16"/>
        <v>97705.904036825494</v>
      </c>
      <c r="AE51" s="10">
        <f t="shared" si="17"/>
        <v>137972.33847341803</v>
      </c>
      <c r="AF51" s="10">
        <f t="shared" si="18"/>
        <v>176205.48451272104</v>
      </c>
      <c r="AG51" s="10">
        <f t="shared" si="19"/>
        <v>36547.207718078702</v>
      </c>
      <c r="AH51" s="10">
        <f t="shared" si="20"/>
        <v>2803996.5214294125</v>
      </c>
      <c r="AJ51">
        <f t="shared" si="21"/>
        <v>16.25844</v>
      </c>
    </row>
    <row r="52" spans="1:36" x14ac:dyDescent="0.4">
      <c r="A52" s="1" t="s">
        <v>59</v>
      </c>
      <c r="B52" s="8">
        <v>96471.60161699212</v>
      </c>
      <c r="C52" s="8">
        <v>1561.0039604056944</v>
      </c>
      <c r="D52" s="8">
        <v>192.38548501361447</v>
      </c>
      <c r="E52" s="8">
        <v>204.93946589646683</v>
      </c>
      <c r="F52" s="8">
        <v>2441.9665154845966</v>
      </c>
      <c r="G52" s="8">
        <v>32956.576932246091</v>
      </c>
      <c r="H52" s="8">
        <v>856.62863493248688</v>
      </c>
      <c r="I52" s="8">
        <v>18398.110936492976</v>
      </c>
      <c r="J52" s="8">
        <v>2655.8560985171894</v>
      </c>
      <c r="K52" s="8">
        <v>1707.4252822479825</v>
      </c>
      <c r="L52" s="7" t="s">
        <v>59</v>
      </c>
      <c r="M52" s="8">
        <f t="shared" si="0"/>
        <v>98429.930528307901</v>
      </c>
      <c r="N52" s="8">
        <f t="shared" si="1"/>
        <v>36255.172082663172</v>
      </c>
      <c r="O52" s="8">
        <f t="shared" si="2"/>
        <v>22761.392317258149</v>
      </c>
      <c r="P52" s="8"/>
      <c r="Q52" s="10">
        <f t="shared" si="3"/>
        <v>414706.85941546602</v>
      </c>
      <c r="R52" s="10">
        <f t="shared" si="4"/>
        <v>144728.68988895349</v>
      </c>
      <c r="S52" s="10">
        <f t="shared" si="5"/>
        <v>104882.72516091229</v>
      </c>
      <c r="T52" s="10">
        <f t="shared" si="6"/>
        <v>135156.58547397325</v>
      </c>
      <c r="U52" s="10">
        <f t="shared" si="7"/>
        <v>62243.613307450396</v>
      </c>
      <c r="V52" s="10">
        <f t="shared" si="8"/>
        <v>64085.92928499946</v>
      </c>
      <c r="W52" s="10">
        <f t="shared" si="9"/>
        <v>48659.111696406275</v>
      </c>
      <c r="X52" s="10">
        <f t="shared" si="10"/>
        <v>17404.12243682281</v>
      </c>
      <c r="Y52" s="10">
        <f t="shared" si="11"/>
        <v>610080.96844345448</v>
      </c>
      <c r="Z52" s="10">
        <f t="shared" si="12"/>
        <v>67272.984863477948</v>
      </c>
      <c r="AA52" s="10">
        <f t="shared" si="13"/>
        <v>70879.827878543103</v>
      </c>
      <c r="AB52" s="10">
        <f t="shared" si="14"/>
        <v>95036.140780606482</v>
      </c>
      <c r="AC52" s="10">
        <f t="shared" si="15"/>
        <v>76988.652578146372</v>
      </c>
      <c r="AD52" s="10">
        <f t="shared" si="16"/>
        <v>79312.595308101765</v>
      </c>
      <c r="AE52" s="10">
        <f t="shared" si="17"/>
        <v>111998.80245650491</v>
      </c>
      <c r="AF52" s="10">
        <f t="shared" si="18"/>
        <v>143034.49133389239</v>
      </c>
      <c r="AG52" s="10">
        <f t="shared" si="19"/>
        <v>29667.131418103487</v>
      </c>
      <c r="AH52" s="10">
        <f t="shared" si="20"/>
        <v>2276139.2317258152</v>
      </c>
      <c r="AJ52">
        <f t="shared" si="21"/>
        <v>13.197760000000001</v>
      </c>
    </row>
    <row r="53" spans="1:36" x14ac:dyDescent="0.4">
      <c r="A53" s="1" t="s">
        <v>60</v>
      </c>
      <c r="B53" s="8">
        <v>72313.863374443303</v>
      </c>
      <c r="C53" s="8">
        <v>1170.1083554920442</v>
      </c>
      <c r="D53" s="8">
        <v>144.20966839271483</v>
      </c>
      <c r="E53" s="8">
        <v>153.61996990270924</v>
      </c>
      <c r="F53" s="8">
        <v>1830.4664793148308</v>
      </c>
      <c r="G53" s="8">
        <v>24703.82331817743</v>
      </c>
      <c r="H53" s="8">
        <v>642.11773237765738</v>
      </c>
      <c r="I53" s="8">
        <v>13790.985723357846</v>
      </c>
      <c r="J53" s="8">
        <v>1990.79534112893</v>
      </c>
      <c r="K53" s="8">
        <v>1279.8638823552328</v>
      </c>
      <c r="L53" s="7" t="s">
        <v>60</v>
      </c>
      <c r="M53" s="8">
        <f t="shared" si="0"/>
        <v>73781.801368230765</v>
      </c>
      <c r="N53" s="8">
        <f t="shared" si="1"/>
        <v>27176.407529869917</v>
      </c>
      <c r="O53" s="8">
        <f t="shared" si="2"/>
        <v>17061.644946842007</v>
      </c>
      <c r="P53" s="8"/>
      <c r="Q53" s="10">
        <f t="shared" si="3"/>
        <v>310858.89183509024</v>
      </c>
      <c r="R53" s="10">
        <f t="shared" si="4"/>
        <v>108486.75186863005</v>
      </c>
      <c r="S53" s="10">
        <f t="shared" si="5"/>
        <v>78618.732668470577</v>
      </c>
      <c r="T53" s="10">
        <f t="shared" si="6"/>
        <v>101311.62634703959</v>
      </c>
      <c r="U53" s="10">
        <f t="shared" si="7"/>
        <v>46657.006551178121</v>
      </c>
      <c r="V53" s="10">
        <f t="shared" si="8"/>
        <v>48037.982752049778</v>
      </c>
      <c r="W53" s="10">
        <f t="shared" si="9"/>
        <v>36474.240047403997</v>
      </c>
      <c r="X53" s="10">
        <f t="shared" si="10"/>
        <v>13045.904815027039</v>
      </c>
      <c r="Y53" s="10">
        <f t="shared" si="11"/>
        <v>457308.79408969369</v>
      </c>
      <c r="Z53" s="10">
        <f t="shared" si="12"/>
        <v>50426.958344927843</v>
      </c>
      <c r="AA53" s="10">
        <f t="shared" si="13"/>
        <v>53130.601164500833</v>
      </c>
      <c r="AB53" s="10">
        <f t="shared" si="14"/>
        <v>71237.860519075839</v>
      </c>
      <c r="AC53" s="10">
        <f t="shared" si="15"/>
        <v>57709.697056982899</v>
      </c>
      <c r="AD53" s="10">
        <f t="shared" si="16"/>
        <v>59451.694434938996</v>
      </c>
      <c r="AE53" s="10">
        <f t="shared" si="17"/>
        <v>83952.852064129329</v>
      </c>
      <c r="AF53" s="10">
        <f t="shared" si="18"/>
        <v>107216.80256970302</v>
      </c>
      <c r="AG53" s="10">
        <f t="shared" si="19"/>
        <v>22238.097555358891</v>
      </c>
      <c r="AH53" s="10">
        <f t="shared" si="20"/>
        <v>1706164.4946842007</v>
      </c>
      <c r="AJ53">
        <f t="shared" si="21"/>
        <v>9.8928700000000003</v>
      </c>
    </row>
    <row r="54" spans="1:36" x14ac:dyDescent="0.4">
      <c r="A54" s="1" t="s">
        <v>61</v>
      </c>
      <c r="B54" s="8">
        <v>48656.839246317228</v>
      </c>
      <c r="C54" s="8">
        <v>787.31478996142505</v>
      </c>
      <c r="D54" s="8">
        <v>97.032385289884374</v>
      </c>
      <c r="E54" s="8">
        <v>103.36416603654813</v>
      </c>
      <c r="F54" s="8">
        <v>1231.6409202010727</v>
      </c>
      <c r="G54" s="8">
        <v>16622.123391996629</v>
      </c>
      <c r="H54" s="8">
        <v>432.05296776539353</v>
      </c>
      <c r="I54" s="8">
        <v>9279.3517601886033</v>
      </c>
      <c r="J54" s="8">
        <v>1339.5192064909272</v>
      </c>
      <c r="K54" s="8">
        <v>861.16448872975798</v>
      </c>
      <c r="L54" s="7" t="s">
        <v>61</v>
      </c>
      <c r="M54" s="8">
        <f t="shared" si="0"/>
        <v>49644.550587605088</v>
      </c>
      <c r="N54" s="8">
        <f t="shared" si="1"/>
        <v>18285.817279963096</v>
      </c>
      <c r="O54" s="8">
        <f t="shared" si="2"/>
        <v>11480.035455409288</v>
      </c>
      <c r="P54" s="8"/>
      <c r="Q54" s="10">
        <f t="shared" si="3"/>
        <v>209163.36678056433</v>
      </c>
      <c r="R54" s="10">
        <f t="shared" si="4"/>
        <v>72995.995507724103</v>
      </c>
      <c r="S54" s="10">
        <f t="shared" si="5"/>
        <v>52899.110332291944</v>
      </c>
      <c r="T54" s="10">
        <f t="shared" si="6"/>
        <v>68168.167028025448</v>
      </c>
      <c r="U54" s="10">
        <f t="shared" si="7"/>
        <v>31393.461247119005</v>
      </c>
      <c r="V54" s="10">
        <f t="shared" si="8"/>
        <v>32322.65979734539</v>
      </c>
      <c r="W54" s="10">
        <f t="shared" si="9"/>
        <v>24541.922555410492</v>
      </c>
      <c r="X54" s="10">
        <f t="shared" si="10"/>
        <v>8778.019369822021</v>
      </c>
      <c r="Y54" s="10">
        <f t="shared" si="11"/>
        <v>307703.10755950137</v>
      </c>
      <c r="Z54" s="10">
        <f t="shared" si="12"/>
        <v>33930.097098601851</v>
      </c>
      <c r="AA54" s="10">
        <f t="shared" si="13"/>
        <v>35749.260228778556</v>
      </c>
      <c r="AB54" s="10">
        <f t="shared" si="14"/>
        <v>47932.843935886951</v>
      </c>
      <c r="AC54" s="10">
        <f t="shared" si="15"/>
        <v>38830.333792505669</v>
      </c>
      <c r="AD54" s="10">
        <f t="shared" si="16"/>
        <v>40002.447719648873</v>
      </c>
      <c r="AE54" s="10">
        <f t="shared" si="17"/>
        <v>56488.206224061934</v>
      </c>
      <c r="AF54" s="10">
        <f t="shared" si="18"/>
        <v>72141.502109011519</v>
      </c>
      <c r="AG54" s="10">
        <f t="shared" si="19"/>
        <v>14963.04425462938</v>
      </c>
      <c r="AH54" s="10">
        <f t="shared" si="20"/>
        <v>1148003.5455409288</v>
      </c>
      <c r="AJ54">
        <f t="shared" si="21"/>
        <v>6.6564799999999993</v>
      </c>
    </row>
    <row r="55" spans="1:36" x14ac:dyDescent="0.4">
      <c r="A55" s="1" t="s">
        <v>62</v>
      </c>
      <c r="B55" s="8">
        <v>25588.240000000002</v>
      </c>
      <c r="C55" s="8">
        <v>1407.6</v>
      </c>
      <c r="D55" s="8">
        <v>678.87</v>
      </c>
      <c r="E55" s="8">
        <v>654.30999999999995</v>
      </c>
      <c r="F55" s="8">
        <v>1456.88</v>
      </c>
      <c r="G55" s="8">
        <v>2941.98</v>
      </c>
      <c r="H55" s="8">
        <v>848.83</v>
      </c>
      <c r="I55" s="8">
        <v>6818.25</v>
      </c>
      <c r="J55" s="8">
        <v>11624.68</v>
      </c>
      <c r="K55" s="8">
        <v>5348.92</v>
      </c>
      <c r="L55" s="7" t="s">
        <v>62</v>
      </c>
      <c r="M55" s="8">
        <f t="shared" si="0"/>
        <v>28329.02</v>
      </c>
      <c r="N55" s="8">
        <f t="shared" si="1"/>
        <v>5247.6900000000005</v>
      </c>
      <c r="O55" s="8">
        <f t="shared" si="2"/>
        <v>23791.85</v>
      </c>
      <c r="P55" s="8"/>
      <c r="Q55" s="10">
        <f t="shared" si="3"/>
        <v>433481.53995407239</v>
      </c>
      <c r="R55" s="10">
        <f t="shared" si="4"/>
        <v>151280.87212501804</v>
      </c>
      <c r="S55" s="10">
        <f t="shared" si="5"/>
        <v>109630.99400240218</v>
      </c>
      <c r="T55" s="10">
        <f t="shared" si="6"/>
        <v>141275.41774633873</v>
      </c>
      <c r="U55" s="10">
        <f t="shared" si="7"/>
        <v>65061.516915466644</v>
      </c>
      <c r="V55" s="10">
        <f t="shared" si="8"/>
        <v>66987.238540027203</v>
      </c>
      <c r="W55" s="10">
        <f t="shared" si="9"/>
        <v>50862.015402122801</v>
      </c>
      <c r="X55" s="10">
        <f t="shared" si="10"/>
        <v>18192.044872604816</v>
      </c>
      <c r="Y55" s="10">
        <f t="shared" si="11"/>
        <v>637700.65937732055</v>
      </c>
      <c r="Z55" s="10">
        <f t="shared" si="12"/>
        <v>70318.579048899803</v>
      </c>
      <c r="AA55" s="10">
        <f t="shared" si="13"/>
        <v>74088.711683664515</v>
      </c>
      <c r="AB55" s="10">
        <f t="shared" si="14"/>
        <v>99338.633354018122</v>
      </c>
      <c r="AC55" s="10">
        <f t="shared" si="15"/>
        <v>80474.096149756951</v>
      </c>
      <c r="AD55" s="10">
        <f t="shared" si="16"/>
        <v>82903.248816211664</v>
      </c>
      <c r="AE55" s="10">
        <f t="shared" si="17"/>
        <v>117069.23157791178</v>
      </c>
      <c r="AF55" s="10">
        <f t="shared" si="18"/>
        <v>149509.9735204688</v>
      </c>
      <c r="AG55" s="10">
        <f t="shared" si="19"/>
        <v>31010.226913694831</v>
      </c>
      <c r="AH55" s="10">
        <f t="shared" si="20"/>
        <v>2379185</v>
      </c>
      <c r="AJ55">
        <f t="shared" si="21"/>
        <v>3.5005892374748098</v>
      </c>
    </row>
    <row r="56" spans="1:36" x14ac:dyDescent="0.4">
      <c r="A56" s="1" t="s">
        <v>63</v>
      </c>
      <c r="B56" s="8">
        <v>23264.27</v>
      </c>
      <c r="C56" s="8">
        <v>1536.15</v>
      </c>
      <c r="D56" s="8">
        <v>715.29</v>
      </c>
      <c r="E56" s="8">
        <v>633.08000000000004</v>
      </c>
      <c r="F56" s="8">
        <v>1971.13</v>
      </c>
      <c r="G56" s="8">
        <v>2955.18</v>
      </c>
      <c r="H56" s="8">
        <v>934.58</v>
      </c>
      <c r="I56" s="8">
        <v>6778.12</v>
      </c>
      <c r="J56" s="8">
        <v>12097.88</v>
      </c>
      <c r="K56" s="8">
        <v>8032.6</v>
      </c>
      <c r="L56" s="7" t="s">
        <v>63</v>
      </c>
      <c r="M56" s="8">
        <f t="shared" si="0"/>
        <v>26148.790000000005</v>
      </c>
      <c r="N56" s="8">
        <f t="shared" si="1"/>
        <v>5860.8899999999994</v>
      </c>
      <c r="O56" s="8">
        <f t="shared" si="2"/>
        <v>26908.6</v>
      </c>
      <c r="P56" s="8"/>
      <c r="Q56" s="10">
        <f t="shared" si="3"/>
        <v>490267.94326662924</v>
      </c>
      <c r="R56" s="10">
        <f t="shared" si="4"/>
        <v>171098.7786012126</v>
      </c>
      <c r="S56" s="10">
        <f t="shared" si="5"/>
        <v>123992.73554654384</v>
      </c>
      <c r="T56" s="10">
        <f t="shared" si="6"/>
        <v>159782.60227637322</v>
      </c>
      <c r="U56" s="10">
        <f t="shared" si="7"/>
        <v>73584.623897323065</v>
      </c>
      <c r="V56" s="10">
        <f t="shared" si="8"/>
        <v>75762.616483298945</v>
      </c>
      <c r="W56" s="10">
        <f t="shared" si="9"/>
        <v>57524.977151821382</v>
      </c>
      <c r="X56" s="10">
        <f t="shared" si="10"/>
        <v>20575.216246696829</v>
      </c>
      <c r="Y56" s="10">
        <f t="shared" si="11"/>
        <v>721239.91883441468</v>
      </c>
      <c r="Z56" s="10">
        <f t="shared" si="12"/>
        <v>79530.365070191052</v>
      </c>
      <c r="AA56" s="10">
        <f t="shared" si="13"/>
        <v>83794.387876985391</v>
      </c>
      <c r="AB56" s="10">
        <f t="shared" si="14"/>
        <v>112352.06801782678</v>
      </c>
      <c r="AC56" s="10">
        <f t="shared" si="15"/>
        <v>91016.262445137734</v>
      </c>
      <c r="AD56" s="10">
        <f t="shared" si="16"/>
        <v>93763.635912966551</v>
      </c>
      <c r="AE56" s="10">
        <f t="shared" si="17"/>
        <v>132405.38776250678</v>
      </c>
      <c r="AF56" s="10">
        <f t="shared" si="18"/>
        <v>169095.89096572509</v>
      </c>
      <c r="AG56" s="10">
        <f t="shared" si="19"/>
        <v>35072.589644346648</v>
      </c>
      <c r="AH56" s="10">
        <f t="shared" si="20"/>
        <v>2690860.0000000005</v>
      </c>
      <c r="AJ56">
        <f t="shared" si="21"/>
        <v>3.1826594240052493</v>
      </c>
    </row>
    <row r="57" spans="1:36" x14ac:dyDescent="0.4">
      <c r="A57" s="1" t="s">
        <v>64</v>
      </c>
      <c r="B57" s="8">
        <v>21507.14</v>
      </c>
      <c r="C57" s="8">
        <v>1465.86</v>
      </c>
      <c r="D57" s="8">
        <v>653.66</v>
      </c>
      <c r="E57" s="8">
        <v>667.23</v>
      </c>
      <c r="F57" s="8">
        <v>2237.42</v>
      </c>
      <c r="G57" s="8">
        <v>3107.79</v>
      </c>
      <c r="H57" s="8">
        <v>3204.56</v>
      </c>
      <c r="I57" s="8">
        <v>6528.19</v>
      </c>
      <c r="J57" s="8">
        <v>11953.91</v>
      </c>
      <c r="K57" s="8">
        <v>8217.08</v>
      </c>
      <c r="L57" s="7" t="s">
        <v>64</v>
      </c>
      <c r="M57" s="8">
        <f t="shared" si="0"/>
        <v>24293.89</v>
      </c>
      <c r="N57" s="8">
        <f t="shared" si="1"/>
        <v>8549.77</v>
      </c>
      <c r="O57" s="8">
        <f t="shared" si="2"/>
        <v>26699.18</v>
      </c>
      <c r="P57" s="8"/>
      <c r="Q57" s="10">
        <f t="shared" si="3"/>
        <v>486452.3633896049</v>
      </c>
      <c r="R57" s="10">
        <f t="shared" si="4"/>
        <v>169767.17806403618</v>
      </c>
      <c r="S57" s="10">
        <f t="shared" si="5"/>
        <v>123027.74447758608</v>
      </c>
      <c r="T57" s="10">
        <f t="shared" si="6"/>
        <v>158539.07148812272</v>
      </c>
      <c r="U57" s="10">
        <f t="shared" si="7"/>
        <v>73011.941114250832</v>
      </c>
      <c r="V57" s="10">
        <f t="shared" si="8"/>
        <v>75172.983163693614</v>
      </c>
      <c r="W57" s="10">
        <f t="shared" si="9"/>
        <v>57077.280849704795</v>
      </c>
      <c r="X57" s="10">
        <f t="shared" si="10"/>
        <v>20415.086704974732</v>
      </c>
      <c r="Y57" s="10">
        <f t="shared" si="11"/>
        <v>715626.76676398725</v>
      </c>
      <c r="Z57" s="10">
        <f t="shared" si="12"/>
        <v>78911.408712260905</v>
      </c>
      <c r="AA57" s="10">
        <f t="shared" si="13"/>
        <v>83142.246156152716</v>
      </c>
      <c r="AB57" s="10">
        <f t="shared" si="14"/>
        <v>111477.67209666058</v>
      </c>
      <c r="AC57" s="10">
        <f t="shared" si="15"/>
        <v>90307.915460112097</v>
      </c>
      <c r="AD57" s="10">
        <f t="shared" si="16"/>
        <v>93033.907103853722</v>
      </c>
      <c r="AE57" s="10">
        <f t="shared" si="17"/>
        <v>131374.92403324461</v>
      </c>
      <c r="AF57" s="10">
        <f t="shared" si="18"/>
        <v>167779.87818594309</v>
      </c>
      <c r="AG57" s="10">
        <f t="shared" si="19"/>
        <v>34799.632235811121</v>
      </c>
      <c r="AH57" s="10">
        <f t="shared" si="20"/>
        <v>2669918</v>
      </c>
      <c r="AJ57">
        <f t="shared" si="21"/>
        <v>2.942275936635891</v>
      </c>
    </row>
    <row r="58" spans="1:36" x14ac:dyDescent="0.4">
      <c r="A58" s="1" t="s">
        <v>65</v>
      </c>
      <c r="B58" s="8">
        <v>22706.69</v>
      </c>
      <c r="C58" s="8">
        <v>1348.41</v>
      </c>
      <c r="D58" s="8">
        <v>611.64</v>
      </c>
      <c r="E58" s="8">
        <v>635.85</v>
      </c>
      <c r="F58" s="8">
        <v>1445.3</v>
      </c>
      <c r="G58" s="8">
        <v>2998.51</v>
      </c>
      <c r="H58" s="8">
        <v>1389.35</v>
      </c>
      <c r="I58" s="8">
        <v>6977.87</v>
      </c>
      <c r="J58" s="8">
        <v>12594.93</v>
      </c>
      <c r="K58" s="8">
        <v>5515.92</v>
      </c>
      <c r="L58" s="7" t="s">
        <v>65</v>
      </c>
      <c r="M58" s="8">
        <f t="shared" si="0"/>
        <v>25302.589999999997</v>
      </c>
      <c r="N58" s="8">
        <f t="shared" si="1"/>
        <v>5833.16</v>
      </c>
      <c r="O58" s="8">
        <f t="shared" si="2"/>
        <v>25088.720000000001</v>
      </c>
      <c r="P58" s="8"/>
      <c r="Q58" s="10">
        <f t="shared" si="3"/>
        <v>457110.18609635386</v>
      </c>
      <c r="R58" s="10">
        <f t="shared" si="4"/>
        <v>159527.04149111491</v>
      </c>
      <c r="S58" s="10">
        <f t="shared" si="5"/>
        <v>115606.87007727216</v>
      </c>
      <c r="T58" s="10">
        <f t="shared" si="6"/>
        <v>148976.19977937502</v>
      </c>
      <c r="U58" s="10">
        <f t="shared" si="7"/>
        <v>68607.955273230386</v>
      </c>
      <c r="V58" s="10">
        <f t="shared" si="8"/>
        <v>70638.6460617376</v>
      </c>
      <c r="W58" s="10">
        <f t="shared" si="9"/>
        <v>53634.453103039341</v>
      </c>
      <c r="X58" s="10">
        <f t="shared" si="10"/>
        <v>19183.675083535665</v>
      </c>
      <c r="Y58" s="10">
        <f t="shared" si="11"/>
        <v>672461.08591525978</v>
      </c>
      <c r="Z58" s="10">
        <f t="shared" si="12"/>
        <v>74151.574617178296</v>
      </c>
      <c r="AA58" s="10">
        <f t="shared" si="13"/>
        <v>78127.213419393098</v>
      </c>
      <c r="AB58" s="10">
        <f t="shared" si="14"/>
        <v>104753.48312138913</v>
      </c>
      <c r="AC58" s="10">
        <f t="shared" si="15"/>
        <v>84860.658820324214</v>
      </c>
      <c r="AD58" s="10">
        <f t="shared" si="16"/>
        <v>87422.222174411232</v>
      </c>
      <c r="AE58" s="10">
        <f t="shared" si="17"/>
        <v>123450.55855990127</v>
      </c>
      <c r="AF58" s="10">
        <f t="shared" si="18"/>
        <v>157659.61297093148</v>
      </c>
      <c r="AG58" s="10">
        <f t="shared" si="19"/>
        <v>32700.563435552671</v>
      </c>
      <c r="AH58" s="10">
        <f t="shared" si="20"/>
        <v>2508872</v>
      </c>
      <c r="AJ58">
        <f t="shared" si="21"/>
        <v>3.1063799086094579</v>
      </c>
    </row>
    <row r="59" spans="1:36" x14ac:dyDescent="0.4">
      <c r="A59" s="1" t="s">
        <v>66</v>
      </c>
      <c r="B59" s="8">
        <v>39933.67</v>
      </c>
      <c r="C59" s="8">
        <v>1291.99</v>
      </c>
      <c r="D59" s="8">
        <v>570.54999999999995</v>
      </c>
      <c r="E59" s="8">
        <v>639.54</v>
      </c>
      <c r="F59" s="8">
        <v>1309.26</v>
      </c>
      <c r="G59" s="8">
        <v>2656.55</v>
      </c>
      <c r="H59" s="8">
        <v>852.69</v>
      </c>
      <c r="I59" s="8">
        <v>7437.58</v>
      </c>
      <c r="J59" s="8">
        <v>12598.6</v>
      </c>
      <c r="K59" s="8">
        <v>4995.49</v>
      </c>
      <c r="L59" s="7" t="s">
        <v>66</v>
      </c>
      <c r="M59" s="8">
        <f t="shared" si="0"/>
        <v>42435.75</v>
      </c>
      <c r="N59" s="8">
        <f t="shared" si="1"/>
        <v>4818.5</v>
      </c>
      <c r="O59" s="8">
        <f t="shared" si="2"/>
        <v>25031.67</v>
      </c>
      <c r="P59" s="8"/>
      <c r="Q59" s="10">
        <f t="shared" si="3"/>
        <v>456070.74940461357</v>
      </c>
      <c r="R59" s="10">
        <f t="shared" si="4"/>
        <v>159164.28812158995</v>
      </c>
      <c r="S59" s="10">
        <f t="shared" si="5"/>
        <v>115343.9881152626</v>
      </c>
      <c r="T59" s="10">
        <f t="shared" si="6"/>
        <v>148637.43828825816</v>
      </c>
      <c r="U59" s="10">
        <f t="shared" si="7"/>
        <v>68451.94556654396</v>
      </c>
      <c r="V59" s="10">
        <f t="shared" si="8"/>
        <v>70478.018705785507</v>
      </c>
      <c r="W59" s="10">
        <f t="shared" si="9"/>
        <v>53512.492096278984</v>
      </c>
      <c r="X59" s="10">
        <f t="shared" si="10"/>
        <v>19140.05274395374</v>
      </c>
      <c r="Y59" s="10">
        <f t="shared" si="11"/>
        <v>670931.95629240666</v>
      </c>
      <c r="Z59" s="10">
        <f t="shared" si="12"/>
        <v>73982.959106625742</v>
      </c>
      <c r="AA59" s="10">
        <f t="shared" si="13"/>
        <v>77949.557583400805</v>
      </c>
      <c r="AB59" s="10">
        <f t="shared" si="14"/>
        <v>104515.28100457824</v>
      </c>
      <c r="AC59" s="10">
        <f t="shared" si="15"/>
        <v>84667.69159897136</v>
      </c>
      <c r="AD59" s="10">
        <f t="shared" si="16"/>
        <v>87223.43013659303</v>
      </c>
      <c r="AE59" s="10">
        <f t="shared" si="17"/>
        <v>123169.84059717369</v>
      </c>
      <c r="AF59" s="10">
        <f t="shared" si="18"/>
        <v>157301.10600365727</v>
      </c>
      <c r="AG59" s="10">
        <f t="shared" si="19"/>
        <v>32626.204634306599</v>
      </c>
      <c r="AH59" s="10">
        <f t="shared" si="20"/>
        <v>2503167</v>
      </c>
      <c r="AJ59">
        <f t="shared" si="21"/>
        <v>5.4631102183999625</v>
      </c>
    </row>
    <row r="60" spans="1:36" x14ac:dyDescent="0.4">
      <c r="A60" s="1" t="s">
        <v>67</v>
      </c>
      <c r="B60" s="8">
        <v>60269.16</v>
      </c>
      <c r="C60" s="8">
        <v>1753.79</v>
      </c>
      <c r="D60" s="8">
        <v>703.26</v>
      </c>
      <c r="E60" s="8">
        <v>814.32</v>
      </c>
      <c r="F60" s="8">
        <v>1666.76</v>
      </c>
      <c r="G60" s="8">
        <v>3347.49</v>
      </c>
      <c r="H60" s="8">
        <v>789.27</v>
      </c>
      <c r="I60" s="8">
        <v>8851.26</v>
      </c>
      <c r="J60" s="8">
        <v>15101.47</v>
      </c>
      <c r="K60" s="8">
        <v>5639.6</v>
      </c>
      <c r="L60" s="7" t="s">
        <v>67</v>
      </c>
      <c r="M60" s="8">
        <f t="shared" si="0"/>
        <v>63540.530000000006</v>
      </c>
      <c r="N60" s="8">
        <f t="shared" si="1"/>
        <v>5803.52</v>
      </c>
      <c r="O60" s="8">
        <f t="shared" si="2"/>
        <v>29592.33</v>
      </c>
      <c r="P60" s="8"/>
      <c r="Q60" s="10">
        <f t="shared" si="3"/>
        <v>539164.83078151115</v>
      </c>
      <c r="R60" s="10">
        <f t="shared" si="4"/>
        <v>188163.32023828896</v>
      </c>
      <c r="S60" s="10">
        <f t="shared" si="5"/>
        <v>136359.15461584981</v>
      </c>
      <c r="T60" s="10">
        <f t="shared" si="6"/>
        <v>175718.5247400901</v>
      </c>
      <c r="U60" s="10">
        <f t="shared" si="7"/>
        <v>80923.588491986593</v>
      </c>
      <c r="V60" s="10">
        <f t="shared" si="8"/>
        <v>83318.803231577345</v>
      </c>
      <c r="W60" s="10">
        <f t="shared" si="9"/>
        <v>63262.232413397898</v>
      </c>
      <c r="X60" s="10">
        <f t="shared" si="10"/>
        <v>22627.286034710618</v>
      </c>
      <c r="Y60" s="10">
        <f t="shared" si="11"/>
        <v>793172.80301915435</v>
      </c>
      <c r="Z60" s="10">
        <f t="shared" si="12"/>
        <v>87462.328332858902</v>
      </c>
      <c r="AA60" s="10">
        <f t="shared" si="13"/>
        <v>92151.623577731705</v>
      </c>
      <c r="AB60" s="10">
        <f t="shared" si="14"/>
        <v>123557.50477416055</v>
      </c>
      <c r="AC60" s="10">
        <f t="shared" si="15"/>
        <v>100093.77201501092</v>
      </c>
      <c r="AD60" s="10">
        <f t="shared" si="16"/>
        <v>103115.1548551897</v>
      </c>
      <c r="AE60" s="10">
        <f t="shared" si="17"/>
        <v>145610.84294411686</v>
      </c>
      <c r="AF60" s="10">
        <f t="shared" si="18"/>
        <v>185960.67454649281</v>
      </c>
      <c r="AG60" s="10">
        <f t="shared" si="19"/>
        <v>38570.555387871857</v>
      </c>
      <c r="AH60" s="10">
        <f t="shared" si="20"/>
        <v>2959233.0000000005</v>
      </c>
      <c r="AJ60">
        <f t="shared" si="21"/>
        <v>8.2450990317289232</v>
      </c>
    </row>
    <row r="61" spans="1:36" x14ac:dyDescent="0.4">
      <c r="A61" s="1" t="s">
        <v>68</v>
      </c>
      <c r="B61" s="8">
        <v>75223.48</v>
      </c>
      <c r="C61" s="8">
        <v>1692.09</v>
      </c>
      <c r="D61" s="8">
        <v>657.29</v>
      </c>
      <c r="E61" s="8">
        <v>774.4</v>
      </c>
      <c r="F61" s="8">
        <v>1717.79</v>
      </c>
      <c r="G61" s="8">
        <v>3436.19</v>
      </c>
      <c r="H61" s="8">
        <v>738.27</v>
      </c>
      <c r="I61" s="8">
        <v>7577.89</v>
      </c>
      <c r="J61" s="8">
        <v>13641.69</v>
      </c>
      <c r="K61" s="8">
        <v>4629.7299999999996</v>
      </c>
      <c r="L61" s="7" t="s">
        <v>68</v>
      </c>
      <c r="M61" s="8">
        <f t="shared" si="0"/>
        <v>78347.25999999998</v>
      </c>
      <c r="N61" s="8">
        <f t="shared" si="1"/>
        <v>5892.25</v>
      </c>
      <c r="O61" s="8">
        <f t="shared" si="2"/>
        <v>25849.31</v>
      </c>
      <c r="P61" s="8"/>
      <c r="Q61" s="10">
        <f t="shared" si="3"/>
        <v>470967.94513878511</v>
      </c>
      <c r="R61" s="10">
        <f t="shared" si="4"/>
        <v>164363.26559851167</v>
      </c>
      <c r="S61" s="10">
        <f t="shared" si="5"/>
        <v>119111.60963003023</v>
      </c>
      <c r="T61" s="10">
        <f t="shared" si="6"/>
        <v>153492.56441615982</v>
      </c>
      <c r="U61" s="10">
        <f t="shared" si="7"/>
        <v>70687.875042005617</v>
      </c>
      <c r="V61" s="10">
        <f t="shared" si="8"/>
        <v>72780.128281958358</v>
      </c>
      <c r="W61" s="10">
        <f t="shared" si="9"/>
        <v>55260.435962493335</v>
      </c>
      <c r="X61" s="10">
        <f t="shared" si="10"/>
        <v>19765.24765606174</v>
      </c>
      <c r="Y61" s="10">
        <f t="shared" si="11"/>
        <v>692847.4259651422</v>
      </c>
      <c r="Z61" s="10">
        <f t="shared" si="12"/>
        <v>76399.55483052037</v>
      </c>
      <c r="AA61" s="10">
        <f t="shared" si="13"/>
        <v>80495.719156419786</v>
      </c>
      <c r="AB61" s="10">
        <f t="shared" si="14"/>
        <v>107929.19123751851</v>
      </c>
      <c r="AC61" s="10">
        <f t="shared" si="15"/>
        <v>87433.295785946626</v>
      </c>
      <c r="AD61" s="10">
        <f t="shared" si="16"/>
        <v>90072.515531889643</v>
      </c>
      <c r="AE61" s="10">
        <f t="shared" si="17"/>
        <v>127193.08748664905</v>
      </c>
      <c r="AF61" s="10">
        <f t="shared" si="18"/>
        <v>162439.22408818101</v>
      </c>
      <c r="AG61" s="10">
        <f t="shared" si="19"/>
        <v>33691.914191727039</v>
      </c>
      <c r="AH61" s="10">
        <f t="shared" si="20"/>
        <v>2584931</v>
      </c>
      <c r="AJ61">
        <f t="shared" si="21"/>
        <v>10.290918972676572</v>
      </c>
    </row>
    <row r="62" spans="1:36" x14ac:dyDescent="0.4">
      <c r="A62" s="1" t="s">
        <v>69</v>
      </c>
      <c r="B62" s="8">
        <v>79126.179999999993</v>
      </c>
      <c r="C62" s="8">
        <v>1824.63</v>
      </c>
      <c r="D62" s="8">
        <v>775.65</v>
      </c>
      <c r="E62" s="8">
        <v>856.52</v>
      </c>
      <c r="F62" s="8">
        <v>2052.2800000000002</v>
      </c>
      <c r="G62" s="8">
        <v>4237.9799999999996</v>
      </c>
      <c r="H62" s="8">
        <v>769.21</v>
      </c>
      <c r="I62" s="8">
        <v>8037.69</v>
      </c>
      <c r="J62" s="8">
        <v>14822.28</v>
      </c>
      <c r="K62" s="8">
        <v>4822.93</v>
      </c>
      <c r="L62" s="7" t="s">
        <v>69</v>
      </c>
      <c r="M62" s="8">
        <f t="shared" si="0"/>
        <v>82582.98</v>
      </c>
      <c r="N62" s="8">
        <f t="shared" si="1"/>
        <v>7059.47</v>
      </c>
      <c r="O62" s="8">
        <f t="shared" si="2"/>
        <v>27682.9</v>
      </c>
      <c r="P62" s="8"/>
      <c r="Q62" s="10">
        <f t="shared" si="3"/>
        <v>504375.49507056375</v>
      </c>
      <c r="R62" s="10">
        <f t="shared" si="4"/>
        <v>176022.17797059339</v>
      </c>
      <c r="S62" s="10">
        <f t="shared" si="5"/>
        <v>127560.64971278398</v>
      </c>
      <c r="T62" s="10">
        <f t="shared" si="6"/>
        <v>164380.37655458154</v>
      </c>
      <c r="U62" s="10">
        <f t="shared" si="7"/>
        <v>75702.035218748089</v>
      </c>
      <c r="V62" s="10">
        <f t="shared" si="8"/>
        <v>77942.699948920301</v>
      </c>
      <c r="W62" s="10">
        <f t="shared" si="9"/>
        <v>59180.269133145404</v>
      </c>
      <c r="X62" s="10">
        <f t="shared" si="10"/>
        <v>21167.271944125067</v>
      </c>
      <c r="Y62" s="10">
        <f t="shared" si="11"/>
        <v>741993.7324536104</v>
      </c>
      <c r="Z62" s="10">
        <f t="shared" si="12"/>
        <v>81818.866206402119</v>
      </c>
      <c r="AA62" s="10">
        <f t="shared" si="13"/>
        <v>86205.587067324173</v>
      </c>
      <c r="AB62" s="10">
        <f t="shared" si="14"/>
        <v>115585.01979778575</v>
      </c>
      <c r="AC62" s="10">
        <f t="shared" si="15"/>
        <v>93635.272427495423</v>
      </c>
      <c r="AD62" s="10">
        <f t="shared" si="16"/>
        <v>96461.702080935531</v>
      </c>
      <c r="AE62" s="10">
        <f t="shared" si="17"/>
        <v>136215.37757039382</v>
      </c>
      <c r="AF62" s="10">
        <f t="shared" si="18"/>
        <v>173961.65686862459</v>
      </c>
      <c r="AG62" s="10">
        <f t="shared" si="19"/>
        <v>36081.809973966832</v>
      </c>
      <c r="AH62" s="10">
        <f t="shared" si="20"/>
        <v>2768290.0000000005</v>
      </c>
      <c r="AJ62">
        <f t="shared" si="21"/>
        <v>10.824826330786896</v>
      </c>
    </row>
    <row r="63" spans="1:36" x14ac:dyDescent="0.4">
      <c r="A63" s="1" t="s">
        <v>70</v>
      </c>
      <c r="B63" s="8">
        <v>74881.179999999993</v>
      </c>
      <c r="C63" s="8">
        <v>1799.49</v>
      </c>
      <c r="D63" s="8">
        <v>853.79</v>
      </c>
      <c r="E63" s="8">
        <v>874.76</v>
      </c>
      <c r="F63" s="8">
        <v>2263.17</v>
      </c>
      <c r="G63" s="8">
        <v>5218.33</v>
      </c>
      <c r="H63" s="8">
        <v>733.25</v>
      </c>
      <c r="I63" s="8">
        <v>7383.16</v>
      </c>
      <c r="J63" s="8">
        <v>13934.56</v>
      </c>
      <c r="K63" s="8">
        <v>4757.74</v>
      </c>
      <c r="L63" s="7" t="s">
        <v>70</v>
      </c>
      <c r="M63" s="8">
        <f t="shared" si="0"/>
        <v>78409.219999999987</v>
      </c>
      <c r="N63" s="8">
        <f t="shared" si="1"/>
        <v>8214.75</v>
      </c>
      <c r="O63" s="8">
        <f t="shared" si="2"/>
        <v>26075.46</v>
      </c>
      <c r="P63" s="8"/>
      <c r="Q63" s="10">
        <f t="shared" si="3"/>
        <v>475088.34141989029</v>
      </c>
      <c r="R63" s="10">
        <f t="shared" si="4"/>
        <v>165801.24411767151</v>
      </c>
      <c r="S63" s="10">
        <f t="shared" si="5"/>
        <v>120153.69123754049</v>
      </c>
      <c r="T63" s="10">
        <f t="shared" si="6"/>
        <v>154835.43753125318</v>
      </c>
      <c r="U63" s="10">
        <f t="shared" si="7"/>
        <v>71306.307910842326</v>
      </c>
      <c r="V63" s="10">
        <f t="shared" si="8"/>
        <v>73416.865820057617</v>
      </c>
      <c r="W63" s="10">
        <f t="shared" si="9"/>
        <v>55743.897516899146</v>
      </c>
      <c r="X63" s="10">
        <f t="shared" si="10"/>
        <v>19938.169515771664</v>
      </c>
      <c r="Y63" s="10">
        <f t="shared" si="11"/>
        <v>698908.99764276203</v>
      </c>
      <c r="Z63" s="10">
        <f t="shared" si="12"/>
        <v>77067.957945532806</v>
      </c>
      <c r="AA63" s="10">
        <f t="shared" si="13"/>
        <v>81199.958723635471</v>
      </c>
      <c r="AB63" s="10">
        <f t="shared" si="14"/>
        <v>108873.44029478017</v>
      </c>
      <c r="AC63" s="10">
        <f t="shared" si="15"/>
        <v>88198.230704595961</v>
      </c>
      <c r="AD63" s="10">
        <f t="shared" si="16"/>
        <v>90860.540410988411</v>
      </c>
      <c r="AE63" s="10">
        <f t="shared" si="17"/>
        <v>128305.87218903009</v>
      </c>
      <c r="AF63" s="10">
        <f t="shared" si="18"/>
        <v>163860.36958597347</v>
      </c>
      <c r="AG63" s="10">
        <f t="shared" si="19"/>
        <v>33986.677432775214</v>
      </c>
      <c r="AH63" s="10">
        <f t="shared" si="20"/>
        <v>2607545.9999999995</v>
      </c>
      <c r="AJ63">
        <f t="shared" si="21"/>
        <v>10.244090754089141</v>
      </c>
    </row>
    <row r="64" spans="1:36" x14ac:dyDescent="0.4">
      <c r="A64" s="1" t="s">
        <v>71</v>
      </c>
      <c r="B64" s="8">
        <v>71862.86</v>
      </c>
      <c r="C64" s="8">
        <v>1814.36</v>
      </c>
      <c r="D64" s="8">
        <v>833.35</v>
      </c>
      <c r="E64" s="8">
        <v>813.36</v>
      </c>
      <c r="F64" s="8">
        <v>2728.37</v>
      </c>
      <c r="G64" s="8">
        <v>6090.43</v>
      </c>
      <c r="H64" s="8">
        <v>987.86</v>
      </c>
      <c r="I64" s="8">
        <v>6898.2</v>
      </c>
      <c r="J64" s="8">
        <v>12792.63</v>
      </c>
      <c r="K64" s="8">
        <v>4664.6000000000004</v>
      </c>
      <c r="L64" s="7" t="s">
        <v>71</v>
      </c>
      <c r="M64" s="8">
        <f t="shared" si="0"/>
        <v>75323.930000000008</v>
      </c>
      <c r="N64" s="8">
        <f t="shared" si="1"/>
        <v>9806.66</v>
      </c>
      <c r="O64" s="8">
        <f t="shared" si="2"/>
        <v>24355.43</v>
      </c>
      <c r="P64" s="8"/>
      <c r="Q64" s="10">
        <f t="shared" si="3"/>
        <v>443749.82620702527</v>
      </c>
      <c r="R64" s="10">
        <f t="shared" si="4"/>
        <v>154864.40488569942</v>
      </c>
      <c r="S64" s="10">
        <f t="shared" si="5"/>
        <v>112227.92680081315</v>
      </c>
      <c r="T64" s="10">
        <f t="shared" si="6"/>
        <v>144621.94186840078</v>
      </c>
      <c r="U64" s="10">
        <f t="shared" si="7"/>
        <v>66602.690456121054</v>
      </c>
      <c r="V64" s="10">
        <f t="shared" si="8"/>
        <v>68574.028465837458</v>
      </c>
      <c r="W64" s="10">
        <f t="shared" si="9"/>
        <v>52066.831952341825</v>
      </c>
      <c r="X64" s="10">
        <f t="shared" si="10"/>
        <v>18622.977004797256</v>
      </c>
      <c r="Y64" s="10">
        <f t="shared" si="11"/>
        <v>652806.47660514736</v>
      </c>
      <c r="Z64" s="10">
        <f t="shared" si="12"/>
        <v>71984.281580665047</v>
      </c>
      <c r="AA64" s="10">
        <f t="shared" si="13"/>
        <v>75843.720904497692</v>
      </c>
      <c r="AB64" s="10">
        <f t="shared" si="14"/>
        <v>101691.76129428581</v>
      </c>
      <c r="AC64" s="10">
        <f t="shared" si="15"/>
        <v>82380.361997435059</v>
      </c>
      <c r="AD64" s="10">
        <f t="shared" si="16"/>
        <v>84867.056295152594</v>
      </c>
      <c r="AE64" s="10">
        <f t="shared" si="17"/>
        <v>119842.36092820104</v>
      </c>
      <c r="AF64" s="10">
        <f t="shared" si="18"/>
        <v>153051.55733495427</v>
      </c>
      <c r="AG64" s="10">
        <f t="shared" si="19"/>
        <v>31744.795418624886</v>
      </c>
      <c r="AH64" s="10">
        <f t="shared" si="20"/>
        <v>2435543</v>
      </c>
      <c r="AJ64">
        <f t="shared" si="21"/>
        <v>9.8311706584805751</v>
      </c>
    </row>
    <row r="65" spans="1:36" x14ac:dyDescent="0.4">
      <c r="A65" s="1" t="s">
        <v>72</v>
      </c>
      <c r="B65" s="8">
        <v>65187.03</v>
      </c>
      <c r="C65" s="8">
        <v>1767.35</v>
      </c>
      <c r="D65" s="8">
        <v>876.55</v>
      </c>
      <c r="E65" s="8">
        <v>887.4</v>
      </c>
      <c r="F65" s="8">
        <v>2891.88</v>
      </c>
      <c r="G65" s="8">
        <v>8346.1200000000008</v>
      </c>
      <c r="H65" s="8">
        <v>924.23</v>
      </c>
      <c r="I65" s="8">
        <v>6960.37</v>
      </c>
      <c r="J65" s="8">
        <v>12056.42</v>
      </c>
      <c r="K65" s="8">
        <v>3827.27</v>
      </c>
      <c r="L65" s="7" t="s">
        <v>72</v>
      </c>
      <c r="M65" s="8">
        <f t="shared" si="0"/>
        <v>68718.33</v>
      </c>
      <c r="N65" s="8">
        <f t="shared" si="1"/>
        <v>12162.23</v>
      </c>
      <c r="O65" s="8">
        <f t="shared" si="2"/>
        <v>22844.06</v>
      </c>
      <c r="P65" s="8"/>
      <c r="Q65" s="10">
        <f t="shared" si="3"/>
        <v>416213.04386179423</v>
      </c>
      <c r="R65" s="10">
        <f t="shared" si="4"/>
        <v>145254.33371832117</v>
      </c>
      <c r="S65" s="10">
        <f t="shared" si="5"/>
        <v>105263.65141216491</v>
      </c>
      <c r="T65" s="10">
        <f t="shared" si="6"/>
        <v>135647.46413256755</v>
      </c>
      <c r="U65" s="10">
        <f t="shared" si="7"/>
        <v>62469.67747812529</v>
      </c>
      <c r="V65" s="10">
        <f t="shared" si="8"/>
        <v>64318.684610179291</v>
      </c>
      <c r="W65" s="10">
        <f t="shared" si="9"/>
        <v>48835.83796833863</v>
      </c>
      <c r="X65" s="10">
        <f t="shared" si="10"/>
        <v>17467.332914106169</v>
      </c>
      <c r="Y65" s="10">
        <f t="shared" si="11"/>
        <v>612296.73711187136</v>
      </c>
      <c r="Z65" s="10">
        <f t="shared" si="12"/>
        <v>67517.315337302905</v>
      </c>
      <c r="AA65" s="10">
        <f t="shared" si="13"/>
        <v>71137.258137737648</v>
      </c>
      <c r="AB65" s="10">
        <f t="shared" si="14"/>
        <v>95381.30497028149</v>
      </c>
      <c r="AC65" s="10">
        <f t="shared" si="15"/>
        <v>77268.269633963617</v>
      </c>
      <c r="AD65" s="10">
        <f t="shared" si="16"/>
        <v>79600.652750940688</v>
      </c>
      <c r="AE65" s="10">
        <f t="shared" si="17"/>
        <v>112405.57377083799</v>
      </c>
      <c r="AF65" s="10">
        <f t="shared" si="18"/>
        <v>143553.98196020909</v>
      </c>
      <c r="AG65" s="10">
        <f t="shared" si="19"/>
        <v>29774.880231258168</v>
      </c>
      <c r="AH65" s="10">
        <f t="shared" si="20"/>
        <v>2284406</v>
      </c>
      <c r="AJ65">
        <f t="shared" si="21"/>
        <v>8.9178863275062117</v>
      </c>
    </row>
    <row r="66" spans="1:36" x14ac:dyDescent="0.4">
      <c r="A66" s="1" t="s">
        <v>73</v>
      </c>
      <c r="B66" s="8">
        <v>65240.51</v>
      </c>
      <c r="C66" s="8">
        <v>1779.66</v>
      </c>
      <c r="D66" s="8">
        <v>882.23</v>
      </c>
      <c r="E66" s="8">
        <v>820.09</v>
      </c>
      <c r="F66" s="8">
        <v>4470.8999999999996</v>
      </c>
      <c r="G66" s="8">
        <v>10278.52</v>
      </c>
      <c r="H66" s="8">
        <v>887.4</v>
      </c>
      <c r="I66" s="8">
        <v>7559.11</v>
      </c>
      <c r="J66" s="8">
        <v>11625.95</v>
      </c>
      <c r="K66" s="8">
        <v>3832.02</v>
      </c>
      <c r="L66" s="7" t="s">
        <v>73</v>
      </c>
      <c r="M66" s="8">
        <f t="shared" si="0"/>
        <v>68722.489999999991</v>
      </c>
      <c r="N66" s="8">
        <f t="shared" si="1"/>
        <v>15636.82</v>
      </c>
      <c r="O66" s="8">
        <f t="shared" si="2"/>
        <v>23017.08</v>
      </c>
      <c r="P66" s="8"/>
      <c r="Q66" s="10">
        <f t="shared" si="3"/>
        <v>419365.42486801499</v>
      </c>
      <c r="R66" s="10">
        <f t="shared" si="4"/>
        <v>146354.48425285594</v>
      </c>
      <c r="S66" s="10">
        <f t="shared" si="5"/>
        <v>106060.91411272396</v>
      </c>
      <c r="T66" s="10">
        <f t="shared" si="6"/>
        <v>136674.85261973739</v>
      </c>
      <c r="U66" s="10">
        <f t="shared" si="7"/>
        <v>62942.820325642992</v>
      </c>
      <c r="V66" s="10">
        <f t="shared" si="8"/>
        <v>64805.831764023802</v>
      </c>
      <c r="W66" s="10">
        <f t="shared" si="9"/>
        <v>49205.718658779908</v>
      </c>
      <c r="X66" s="10">
        <f t="shared" si="10"/>
        <v>17599.629797444712</v>
      </c>
      <c r="Y66" s="10">
        <f t="shared" si="11"/>
        <v>616934.24819593853</v>
      </c>
      <c r="Z66" s="10">
        <f t="shared" si="12"/>
        <v>68028.688792794623</v>
      </c>
      <c r="AA66" s="10">
        <f t="shared" si="13"/>
        <v>71676.048895728629</v>
      </c>
      <c r="AB66" s="10">
        <f t="shared" si="14"/>
        <v>96103.719172746292</v>
      </c>
      <c r="AC66" s="10">
        <f t="shared" si="15"/>
        <v>77853.496428678234</v>
      </c>
      <c r="AD66" s="10">
        <f t="shared" si="16"/>
        <v>80203.544922427187</v>
      </c>
      <c r="AE66" s="10">
        <f t="shared" si="17"/>
        <v>113256.92910670344</v>
      </c>
      <c r="AF66" s="10">
        <f t="shared" si="18"/>
        <v>144641.25409829468</v>
      </c>
      <c r="AG66" s="10">
        <f t="shared" si="19"/>
        <v>30000.393987464915</v>
      </c>
      <c r="AH66" s="10">
        <f t="shared" si="20"/>
        <v>2301708</v>
      </c>
      <c r="AJ66">
        <f t="shared" si="21"/>
        <v>8.9252026381403198</v>
      </c>
    </row>
    <row r="67" spans="1:36" x14ac:dyDescent="0.4">
      <c r="A67" s="1" t="s">
        <v>74</v>
      </c>
      <c r="B67" s="8">
        <v>48009.599999999999</v>
      </c>
      <c r="C67" s="8">
        <v>1788.62</v>
      </c>
      <c r="D67" s="8">
        <v>787.87</v>
      </c>
      <c r="E67" s="8">
        <v>839.16</v>
      </c>
      <c r="F67" s="8">
        <v>5068.8500000000004</v>
      </c>
      <c r="G67" s="8">
        <v>13854.93</v>
      </c>
      <c r="H67" s="8">
        <v>840.52</v>
      </c>
      <c r="I67" s="8">
        <v>6762.32</v>
      </c>
      <c r="J67" s="8">
        <v>10935</v>
      </c>
      <c r="K67" s="8">
        <v>3316.1</v>
      </c>
      <c r="L67" s="7" t="s">
        <v>74</v>
      </c>
      <c r="M67" s="8">
        <f t="shared" si="0"/>
        <v>51425.250000000007</v>
      </c>
      <c r="N67" s="8">
        <f t="shared" si="1"/>
        <v>19764.3</v>
      </c>
      <c r="O67" s="8">
        <f t="shared" si="2"/>
        <v>21013.42</v>
      </c>
      <c r="P67" s="8"/>
      <c r="Q67" s="10">
        <f t="shared" si="3"/>
        <v>382859.24219014932</v>
      </c>
      <c r="R67" s="10">
        <f t="shared" si="4"/>
        <v>133614.17897007993</v>
      </c>
      <c r="S67" s="10">
        <f t="shared" si="5"/>
        <v>96828.204699926981</v>
      </c>
      <c r="T67" s="10">
        <f t="shared" si="6"/>
        <v>124777.16902129381</v>
      </c>
      <c r="U67" s="10">
        <f t="shared" si="7"/>
        <v>57463.5844115445</v>
      </c>
      <c r="V67" s="10">
        <f t="shared" si="8"/>
        <v>59164.418827530375</v>
      </c>
      <c r="W67" s="10">
        <f t="shared" si="9"/>
        <v>44922.311282698705</v>
      </c>
      <c r="X67" s="10">
        <f t="shared" si="10"/>
        <v>16067.564294785463</v>
      </c>
      <c r="Y67" s="10">
        <f t="shared" si="11"/>
        <v>563229.5004286163</v>
      </c>
      <c r="Z67" s="10">
        <f t="shared" si="12"/>
        <v>62106.722905437447</v>
      </c>
      <c r="AA67" s="10">
        <f t="shared" si="13"/>
        <v>65436.576637283339</v>
      </c>
      <c r="AB67" s="10">
        <f t="shared" si="14"/>
        <v>87737.793609744156</v>
      </c>
      <c r="AC67" s="10">
        <f t="shared" si="15"/>
        <v>71076.271139706485</v>
      </c>
      <c r="AD67" s="10">
        <f t="shared" si="16"/>
        <v>73221.745544779347</v>
      </c>
      <c r="AE67" s="10">
        <f t="shared" si="17"/>
        <v>103397.79933985474</v>
      </c>
      <c r="AF67" s="10">
        <f t="shared" si="18"/>
        <v>132050.08722627661</v>
      </c>
      <c r="AG67" s="10">
        <f t="shared" si="19"/>
        <v>27388.829470292272</v>
      </c>
      <c r="AH67" s="10">
        <f t="shared" si="20"/>
        <v>2101342</v>
      </c>
      <c r="AJ67">
        <f t="shared" si="21"/>
        <v>6.5679346862258052</v>
      </c>
    </row>
    <row r="68" spans="1:36" x14ac:dyDescent="0.4">
      <c r="A68" s="1" t="s">
        <v>75</v>
      </c>
      <c r="B68" s="8">
        <v>28315.31</v>
      </c>
      <c r="C68" s="8">
        <v>1363.33</v>
      </c>
      <c r="D68" s="8">
        <v>541.03</v>
      </c>
      <c r="E68" s="8">
        <v>637.04</v>
      </c>
      <c r="F68" s="8">
        <v>3798.64</v>
      </c>
      <c r="G68" s="8">
        <v>12553.93</v>
      </c>
      <c r="H68" s="8">
        <v>837.16</v>
      </c>
      <c r="I68" s="8">
        <v>6554.34</v>
      </c>
      <c r="J68" s="8">
        <v>7849.87</v>
      </c>
      <c r="K68" s="8">
        <v>6856.64</v>
      </c>
      <c r="L68" s="7" t="s">
        <v>75</v>
      </c>
      <c r="M68" s="8">
        <f t="shared" ref="M68:M106" si="22">B68+C68+D68+E68</f>
        <v>30856.71</v>
      </c>
      <c r="N68" s="8">
        <f t="shared" ref="N68:N106" si="23">F68+G68+H68</f>
        <v>17189.73</v>
      </c>
      <c r="O68" s="8">
        <f t="shared" ref="O68:O105" si="24">I68+J68+K68</f>
        <v>21260.85</v>
      </c>
      <c r="P68" s="8"/>
      <c r="Q68" s="10">
        <f t="shared" ref="Q68:Q106" si="25">$O68*$Q$1</f>
        <v>387367.35473418585</v>
      </c>
      <c r="R68" s="10">
        <f t="shared" ref="R68:R106" si="26">$O68*$R$1</f>
        <v>135187.46672155336</v>
      </c>
      <c r="S68" s="10">
        <f t="shared" ref="S68:S106" si="27">$O68*$S$1</f>
        <v>97968.342892039596</v>
      </c>
      <c r="T68" s="10">
        <f t="shared" ref="T68:T106" si="28">$O68*$T$1</f>
        <v>126246.40225086514</v>
      </c>
      <c r="U68" s="10">
        <f t="shared" ref="U68:U106" si="29">$O68*$U$1</f>
        <v>58140.20985809002</v>
      </c>
      <c r="V68" s="10">
        <f t="shared" ref="V68:V106" si="30">$O68*$V$1</f>
        <v>59861.071354843676</v>
      </c>
      <c r="W68" s="10">
        <f t="shared" ref="W68:W106" si="31">$O68*$W$1</f>
        <v>45451.26504085317</v>
      </c>
      <c r="X68" s="10">
        <f t="shared" ref="X68:X106" si="32">$O68*$X$1</f>
        <v>16256.757554781159</v>
      </c>
      <c r="Y68" s="10">
        <f t="shared" ref="Y68:Y106" si="33">$O68*$Y$1</f>
        <v>569861.44683672371</v>
      </c>
      <c r="Z68" s="10">
        <f t="shared" ref="Z68:Z106" si="34">$O68*$Z$1</f>
        <v>62838.020640336974</v>
      </c>
      <c r="AA68" s="10">
        <f t="shared" ref="AA68:AA106" si="35">$O68*$AA$1</f>
        <v>66207.082921237263</v>
      </c>
      <c r="AB68" s="10">
        <f t="shared" ref="AB68:AB106" si="36">$O68*$AB$1</f>
        <v>88770.893517938966</v>
      </c>
      <c r="AC68" s="10">
        <f t="shared" ref="AC68:AC106" si="37">$O68*$AC$1</f>
        <v>71913.184015768435</v>
      </c>
      <c r="AD68" s="10">
        <f t="shared" ref="AD68:AD106" si="38">$O68*$AD$1</f>
        <v>74083.92107356737</v>
      </c>
      <c r="AE68" s="10">
        <f t="shared" ref="AE68:AE106" si="39">$O68*$AE$1</f>
        <v>104615.29356452926</v>
      </c>
      <c r="AF68" s="10">
        <f t="shared" ref="AF68:AF106" si="40">$O68*$AF$1</f>
        <v>133604.95802229163</v>
      </c>
      <c r="AG68" s="10">
        <f t="shared" ref="AG68:AG106" si="41">$O68*$AG$1</f>
        <v>27711.329000394198</v>
      </c>
      <c r="AH68" s="10">
        <f t="shared" ref="AH68:AH106" si="42">SUM(Q68:AG68)</f>
        <v>2126084.9999999995</v>
      </c>
      <c r="AJ68">
        <f t="shared" ref="AJ68:AJ106" si="43">$B68/$B$8*100</f>
        <v>3.8736649899236073</v>
      </c>
    </row>
    <row r="69" spans="1:36" x14ac:dyDescent="0.4">
      <c r="A69" s="1" t="s">
        <v>76</v>
      </c>
      <c r="B69" s="8">
        <v>20726.27</v>
      </c>
      <c r="C69" s="8">
        <v>1500.12</v>
      </c>
      <c r="D69" s="8">
        <v>404.17</v>
      </c>
      <c r="E69" s="8">
        <v>575.09</v>
      </c>
      <c r="F69" s="8">
        <v>4207.38</v>
      </c>
      <c r="G69" s="8">
        <v>10395.61</v>
      </c>
      <c r="H69" s="8">
        <v>646.07000000000005</v>
      </c>
      <c r="I69" s="8">
        <v>6689.38</v>
      </c>
      <c r="J69" s="8">
        <v>8252.64</v>
      </c>
      <c r="K69" s="8">
        <v>2810.56</v>
      </c>
      <c r="L69" s="7" t="s">
        <v>76</v>
      </c>
      <c r="M69" s="8">
        <f t="shared" si="22"/>
        <v>23205.649999999998</v>
      </c>
      <c r="N69" s="8">
        <f t="shared" si="23"/>
        <v>15249.060000000001</v>
      </c>
      <c r="O69" s="8">
        <f t="shared" si="24"/>
        <v>17752.580000000002</v>
      </c>
      <c r="P69" s="8"/>
      <c r="Q69" s="10">
        <f t="shared" si="25"/>
        <v>323447.55521566706</v>
      </c>
      <c r="R69" s="10">
        <f t="shared" si="26"/>
        <v>112880.07384331831</v>
      </c>
      <c r="S69" s="10">
        <f t="shared" si="27"/>
        <v>81802.507644725614</v>
      </c>
      <c r="T69" s="10">
        <f t="shared" si="28"/>
        <v>105414.38162964622</v>
      </c>
      <c r="U69" s="10">
        <f t="shared" si="29"/>
        <v>48546.446954027328</v>
      </c>
      <c r="V69" s="10">
        <f t="shared" si="30"/>
        <v>49983.347707761961</v>
      </c>
      <c r="W69" s="10">
        <f t="shared" si="31"/>
        <v>37951.31515150849</v>
      </c>
      <c r="X69" s="10">
        <f t="shared" si="32"/>
        <v>13574.216883702062</v>
      </c>
      <c r="Y69" s="10">
        <f t="shared" si="33"/>
        <v>475828.15004502115</v>
      </c>
      <c r="Z69" s="10">
        <f t="shared" si="34"/>
        <v>52469.068191499093</v>
      </c>
      <c r="AA69" s="10">
        <f t="shared" si="35"/>
        <v>55282.198789131115</v>
      </c>
      <c r="AB69" s="10">
        <f t="shared" si="36"/>
        <v>74122.736807262801</v>
      </c>
      <c r="AC69" s="10">
        <f t="shared" si="37"/>
        <v>60046.731541525885</v>
      </c>
      <c r="AD69" s="10">
        <f t="shared" si="38"/>
        <v>61859.273527266814</v>
      </c>
      <c r="AE69" s="10">
        <f t="shared" si="39"/>
        <v>87352.639627662647</v>
      </c>
      <c r="AF69" s="10">
        <f t="shared" si="40"/>
        <v>111558.6961804149</v>
      </c>
      <c r="AG69" s="10">
        <f t="shared" si="41"/>
        <v>23138.66025985876</v>
      </c>
      <c r="AH69" s="10">
        <f t="shared" si="42"/>
        <v>1775258</v>
      </c>
      <c r="AJ69">
        <f t="shared" si="43"/>
        <v>2.8354493194919628</v>
      </c>
    </row>
    <row r="70" spans="1:36" x14ac:dyDescent="0.4">
      <c r="A70" s="1" t="s">
        <v>77</v>
      </c>
      <c r="B70" s="8">
        <v>20861.419999999998</v>
      </c>
      <c r="C70" s="8">
        <v>1300.9000000000001</v>
      </c>
      <c r="D70" s="8">
        <v>590.63</v>
      </c>
      <c r="E70" s="8">
        <v>613.91999999999996</v>
      </c>
      <c r="F70" s="8">
        <v>5940.53</v>
      </c>
      <c r="G70" s="8">
        <v>18783.55</v>
      </c>
      <c r="H70" s="8">
        <v>778.93</v>
      </c>
      <c r="I70" s="8">
        <v>6071.22</v>
      </c>
      <c r="J70" s="8">
        <v>7885.33</v>
      </c>
      <c r="K70" s="8">
        <v>2259.77</v>
      </c>
      <c r="L70" s="7" t="s">
        <v>77</v>
      </c>
      <c r="M70" s="8">
        <f t="shared" si="22"/>
        <v>23366.87</v>
      </c>
      <c r="N70" s="8">
        <f t="shared" si="23"/>
        <v>25503.01</v>
      </c>
      <c r="O70" s="8">
        <f t="shared" si="24"/>
        <v>16216.32</v>
      </c>
      <c r="P70" s="8"/>
      <c r="Q70" s="10">
        <f t="shared" si="25"/>
        <v>295457.28331290017</v>
      </c>
      <c r="R70" s="10">
        <f t="shared" si="26"/>
        <v>103111.73919885895</v>
      </c>
      <c r="S70" s="10">
        <f t="shared" si="27"/>
        <v>74723.541072301421</v>
      </c>
      <c r="T70" s="10">
        <f t="shared" si="28"/>
        <v>96292.107688486096</v>
      </c>
      <c r="U70" s="10">
        <f t="shared" si="29"/>
        <v>44345.36944317571</v>
      </c>
      <c r="V70" s="10">
        <f t="shared" si="30"/>
        <v>45657.924712933804</v>
      </c>
      <c r="W70" s="10">
        <f t="shared" si="31"/>
        <v>34667.111536335004</v>
      </c>
      <c r="X70" s="10">
        <f t="shared" si="32"/>
        <v>12399.541065891008</v>
      </c>
      <c r="Y70" s="10">
        <f t="shared" si="33"/>
        <v>434651.27582233545</v>
      </c>
      <c r="Z70" s="10">
        <f t="shared" si="34"/>
        <v>47928.537705233299</v>
      </c>
      <c r="AA70" s="10">
        <f t="shared" si="35"/>
        <v>50498.227630471891</v>
      </c>
      <c r="AB70" s="10">
        <f t="shared" si="36"/>
        <v>67708.356720113457</v>
      </c>
      <c r="AC70" s="10">
        <f t="shared" si="37"/>
        <v>54850.450674295054</v>
      </c>
      <c r="AD70" s="10">
        <f t="shared" si="38"/>
        <v>56506.140205293392</v>
      </c>
      <c r="AE70" s="10">
        <f t="shared" si="39"/>
        <v>79793.379725474166</v>
      </c>
      <c r="AF70" s="10">
        <f t="shared" si="40"/>
        <v>101904.70996578444</v>
      </c>
      <c r="AG70" s="10">
        <f t="shared" si="41"/>
        <v>21136.303520116668</v>
      </c>
      <c r="AH70" s="10">
        <f t="shared" si="42"/>
        <v>1621631.9999999998</v>
      </c>
      <c r="AJ70">
        <f t="shared" si="43"/>
        <v>2.8539384627642121</v>
      </c>
    </row>
    <row r="71" spans="1:36" x14ac:dyDescent="0.4">
      <c r="A71" s="1" t="s">
        <v>78</v>
      </c>
      <c r="B71" s="8">
        <v>17122.86</v>
      </c>
      <c r="C71" s="8">
        <v>1287.1300000000001</v>
      </c>
      <c r="D71" s="8">
        <v>667.79</v>
      </c>
      <c r="E71" s="8">
        <v>554.75</v>
      </c>
      <c r="F71" s="8">
        <v>6917.72</v>
      </c>
      <c r="G71" s="8">
        <v>21346.84</v>
      </c>
      <c r="H71" s="8">
        <v>757.09</v>
      </c>
      <c r="I71" s="8">
        <v>6577.16</v>
      </c>
      <c r="J71" s="8">
        <v>6642.48</v>
      </c>
      <c r="K71" s="8">
        <v>1895.71</v>
      </c>
      <c r="L71" s="7" t="s">
        <v>78</v>
      </c>
      <c r="M71" s="8">
        <f t="shared" si="22"/>
        <v>19632.530000000002</v>
      </c>
      <c r="N71" s="8">
        <f t="shared" si="23"/>
        <v>29021.65</v>
      </c>
      <c r="O71" s="8">
        <f t="shared" si="24"/>
        <v>15115.349999999999</v>
      </c>
      <c r="P71" s="8"/>
      <c r="Q71" s="10">
        <f t="shared" si="25"/>
        <v>275397.88603848749</v>
      </c>
      <c r="R71" s="10">
        <f t="shared" si="26"/>
        <v>96111.203226100159</v>
      </c>
      <c r="S71" s="10">
        <f t="shared" si="27"/>
        <v>69650.356958126824</v>
      </c>
      <c r="T71" s="10">
        <f t="shared" si="28"/>
        <v>89754.575017584633</v>
      </c>
      <c r="U71" s="10">
        <f t="shared" si="29"/>
        <v>41334.641892421088</v>
      </c>
      <c r="V71" s="10">
        <f t="shared" si="30"/>
        <v>42558.08422068903</v>
      </c>
      <c r="W71" s="10">
        <f t="shared" si="31"/>
        <v>32313.467196055659</v>
      </c>
      <c r="X71" s="10">
        <f t="shared" si="32"/>
        <v>11557.702552139797</v>
      </c>
      <c r="Y71" s="10">
        <f t="shared" si="33"/>
        <v>405141.6204170328</v>
      </c>
      <c r="Z71" s="10">
        <f t="shared" si="34"/>
        <v>44674.53913112211</v>
      </c>
      <c r="AA71" s="10">
        <f t="shared" si="35"/>
        <v>47069.76582937764</v>
      </c>
      <c r="AB71" s="10">
        <f t="shared" si="36"/>
        <v>63111.452521248153</v>
      </c>
      <c r="AC71" s="10">
        <f t="shared" si="37"/>
        <v>51126.504632352204</v>
      </c>
      <c r="AD71" s="10">
        <f t="shared" si="38"/>
        <v>52669.784905088294</v>
      </c>
      <c r="AE71" s="10">
        <f t="shared" si="39"/>
        <v>74375.990498056635</v>
      </c>
      <c r="AF71" s="10">
        <f t="shared" si="40"/>
        <v>94986.122485330809</v>
      </c>
      <c r="AG71" s="10">
        <f t="shared" si="41"/>
        <v>19701.302478786522</v>
      </c>
      <c r="AH71" s="10">
        <f t="shared" si="42"/>
        <v>1511535</v>
      </c>
      <c r="AJ71">
        <f t="shared" si="43"/>
        <v>2.3424862136195346</v>
      </c>
    </row>
    <row r="72" spans="1:36" x14ac:dyDescent="0.4">
      <c r="A72" s="1" t="s">
        <v>79</v>
      </c>
      <c r="B72" s="8">
        <v>16174.14</v>
      </c>
      <c r="C72" s="8">
        <v>1428.51</v>
      </c>
      <c r="D72" s="8">
        <v>706.37</v>
      </c>
      <c r="E72" s="8">
        <v>549.20000000000005</v>
      </c>
      <c r="F72" s="8">
        <v>10295.73</v>
      </c>
      <c r="G72" s="8">
        <v>26320.07</v>
      </c>
      <c r="H72" s="8">
        <v>790.75</v>
      </c>
      <c r="I72" s="8">
        <v>9027.91</v>
      </c>
      <c r="J72" s="8">
        <v>6019.69</v>
      </c>
      <c r="K72" s="8">
        <v>2217.3200000000002</v>
      </c>
      <c r="L72" s="7" t="s">
        <v>79</v>
      </c>
      <c r="M72" s="8">
        <f t="shared" si="22"/>
        <v>18858.219999999998</v>
      </c>
      <c r="N72" s="8">
        <f t="shared" si="23"/>
        <v>37406.550000000003</v>
      </c>
      <c r="O72" s="8">
        <f t="shared" si="24"/>
        <v>17264.919999999998</v>
      </c>
      <c r="P72" s="8"/>
      <c r="Q72" s="10">
        <f t="shared" si="25"/>
        <v>314562.51232181874</v>
      </c>
      <c r="R72" s="10">
        <f t="shared" si="26"/>
        <v>109779.27965957527</v>
      </c>
      <c r="S72" s="10">
        <f t="shared" si="27"/>
        <v>79555.408300403433</v>
      </c>
      <c r="T72" s="10">
        <f t="shared" si="28"/>
        <v>102518.66859269534</v>
      </c>
      <c r="U72" s="10">
        <f t="shared" si="29"/>
        <v>47212.885278958056</v>
      </c>
      <c r="V72" s="10">
        <f t="shared" si="30"/>
        <v>48610.314641967168</v>
      </c>
      <c r="W72" s="10">
        <f t="shared" si="31"/>
        <v>36908.799734212262</v>
      </c>
      <c r="X72" s="10">
        <f t="shared" si="32"/>
        <v>13201.33572470961</v>
      </c>
      <c r="Y72" s="10">
        <f t="shared" si="33"/>
        <v>462757.24116017413</v>
      </c>
      <c r="Z72" s="10">
        <f t="shared" si="34"/>
        <v>51027.752856248298</v>
      </c>
      <c r="AA72" s="10">
        <f t="shared" si="35"/>
        <v>53763.607290796346</v>
      </c>
      <c r="AB72" s="10">
        <f t="shared" si="36"/>
        <v>72086.599308858058</v>
      </c>
      <c r="AC72" s="10">
        <f t="shared" si="37"/>
        <v>58397.259233639328</v>
      </c>
      <c r="AD72" s="10">
        <f t="shared" si="38"/>
        <v>60160.011035375093</v>
      </c>
      <c r="AE72" s="10">
        <f t="shared" si="39"/>
        <v>84953.079212172262</v>
      </c>
      <c r="AF72" s="10">
        <f t="shared" si="40"/>
        <v>108494.19999003911</v>
      </c>
      <c r="AG72" s="10">
        <f t="shared" si="41"/>
        <v>22503.0456583573</v>
      </c>
      <c r="AH72" s="10">
        <f t="shared" si="42"/>
        <v>1726491.9999999993</v>
      </c>
      <c r="AJ72">
        <f t="shared" si="43"/>
        <v>2.2126969424005249</v>
      </c>
    </row>
    <row r="73" spans="1:36" x14ac:dyDescent="0.4">
      <c r="A73" s="1" t="s">
        <v>80</v>
      </c>
      <c r="B73" s="8">
        <v>19821.89</v>
      </c>
      <c r="C73" s="8">
        <v>1913.41</v>
      </c>
      <c r="D73" s="8">
        <v>922.61</v>
      </c>
      <c r="E73" s="8">
        <v>662.27</v>
      </c>
      <c r="F73" s="8">
        <v>10626.09</v>
      </c>
      <c r="G73" s="8">
        <v>82219.199999999997</v>
      </c>
      <c r="H73" s="8">
        <v>990.37</v>
      </c>
      <c r="I73" s="8">
        <v>15089.73</v>
      </c>
      <c r="J73" s="8">
        <v>7166.64</v>
      </c>
      <c r="K73" s="8">
        <v>2571.94</v>
      </c>
      <c r="L73" s="7" t="s">
        <v>80</v>
      </c>
      <c r="M73" s="8">
        <f t="shared" si="22"/>
        <v>23320.18</v>
      </c>
      <c r="N73" s="8">
        <f t="shared" si="23"/>
        <v>93835.659999999989</v>
      </c>
      <c r="O73" s="8">
        <f t="shared" si="24"/>
        <v>24828.309999999998</v>
      </c>
      <c r="P73" s="8"/>
      <c r="Q73" s="10">
        <f t="shared" si="25"/>
        <v>452365.58120772848</v>
      </c>
      <c r="R73" s="10">
        <f t="shared" si="26"/>
        <v>157871.22019474342</v>
      </c>
      <c r="S73" s="10">
        <f t="shared" si="27"/>
        <v>114406.92105488988</v>
      </c>
      <c r="T73" s="10">
        <f t="shared" si="28"/>
        <v>147429.89163035239</v>
      </c>
      <c r="U73" s="10">
        <f t="shared" si="29"/>
        <v>67895.834541973381</v>
      </c>
      <c r="V73" s="10">
        <f t="shared" si="30"/>
        <v>69905.44764344694</v>
      </c>
      <c r="W73" s="10">
        <f t="shared" si="31"/>
        <v>53077.750810831421</v>
      </c>
      <c r="X73" s="10">
        <f t="shared" si="32"/>
        <v>18984.556881072422</v>
      </c>
      <c r="Y73" s="10">
        <f t="shared" si="33"/>
        <v>665481.23236421391</v>
      </c>
      <c r="Z73" s="10">
        <f t="shared" si="34"/>
        <v>73381.913528607038</v>
      </c>
      <c r="AA73" s="10">
        <f t="shared" si="35"/>
        <v>77316.286929458802</v>
      </c>
      <c r="AB73" s="10">
        <f t="shared" si="36"/>
        <v>103666.18753438264</v>
      </c>
      <c r="AC73" s="10">
        <f t="shared" si="37"/>
        <v>83979.842096178822</v>
      </c>
      <c r="AD73" s="10">
        <f t="shared" si="38"/>
        <v>86514.817536931179</v>
      </c>
      <c r="AE73" s="10">
        <f t="shared" si="39"/>
        <v>122169.19546307591</v>
      </c>
      <c r="AF73" s="10">
        <f t="shared" si="40"/>
        <v>156023.17477026756</v>
      </c>
      <c r="AG73" s="10">
        <f t="shared" si="41"/>
        <v>32361.145811845588</v>
      </c>
      <c r="AH73" s="10">
        <f t="shared" si="42"/>
        <v>2482831</v>
      </c>
      <c r="AJ73">
        <f t="shared" si="43"/>
        <v>2.7117259647560576</v>
      </c>
    </row>
    <row r="74" spans="1:36" x14ac:dyDescent="0.4">
      <c r="A74" s="1" t="s">
        <v>81</v>
      </c>
      <c r="B74" s="8">
        <v>17372.91</v>
      </c>
      <c r="C74" s="8">
        <v>2113.31</v>
      </c>
      <c r="D74" s="8">
        <v>878.72</v>
      </c>
      <c r="E74" s="8">
        <v>728.29</v>
      </c>
      <c r="F74" s="8">
        <v>9399.56</v>
      </c>
      <c r="G74" s="8">
        <v>77385.440000000002</v>
      </c>
      <c r="H74" s="8">
        <v>908.75</v>
      </c>
      <c r="I74" s="8">
        <v>18431.03</v>
      </c>
      <c r="J74" s="8">
        <v>7337.79</v>
      </c>
      <c r="K74" s="8">
        <v>2471.41</v>
      </c>
      <c r="L74" s="7" t="s">
        <v>81</v>
      </c>
      <c r="M74" s="8">
        <f t="shared" si="22"/>
        <v>21093.230000000003</v>
      </c>
      <c r="N74" s="8">
        <f t="shared" si="23"/>
        <v>87693.75</v>
      </c>
      <c r="O74" s="8">
        <f t="shared" si="24"/>
        <v>28240.23</v>
      </c>
      <c r="P74" s="8"/>
      <c r="Q74" s="10">
        <f t="shared" si="25"/>
        <v>514529.90789102967</v>
      </c>
      <c r="R74" s="10">
        <f t="shared" si="26"/>
        <v>179565.97000279921</v>
      </c>
      <c r="S74" s="10">
        <f t="shared" si="27"/>
        <v>130128.7829973902</v>
      </c>
      <c r="T74" s="10">
        <f t="shared" si="28"/>
        <v>167689.78833099097</v>
      </c>
      <c r="U74" s="10">
        <f t="shared" si="29"/>
        <v>77226.117424314158</v>
      </c>
      <c r="V74" s="10">
        <f t="shared" si="30"/>
        <v>79511.892662202925</v>
      </c>
      <c r="W74" s="10">
        <f t="shared" si="31"/>
        <v>60371.724486304782</v>
      </c>
      <c r="X74" s="10">
        <f t="shared" si="32"/>
        <v>21593.425117117029</v>
      </c>
      <c r="Y74" s="10">
        <f t="shared" si="33"/>
        <v>756932.02890768019</v>
      </c>
      <c r="Z74" s="10">
        <f t="shared" si="34"/>
        <v>83466.09639914977</v>
      </c>
      <c r="AA74" s="10">
        <f t="shared" si="35"/>
        <v>87941.133554152926</v>
      </c>
      <c r="AB74" s="10">
        <f t="shared" si="36"/>
        <v>117912.05197591375</v>
      </c>
      <c r="AC74" s="10">
        <f t="shared" si="37"/>
        <v>95520.39813260638</v>
      </c>
      <c r="AD74" s="10">
        <f t="shared" si="38"/>
        <v>98403.731291053249</v>
      </c>
      <c r="AE74" s="10">
        <f t="shared" si="39"/>
        <v>138957.75341906963</v>
      </c>
      <c r="AF74" s="10">
        <f t="shared" si="40"/>
        <v>177463.96516084074</v>
      </c>
      <c r="AG74" s="10">
        <f t="shared" si="41"/>
        <v>36808.232247384389</v>
      </c>
      <c r="AH74" s="10">
        <f t="shared" si="42"/>
        <v>2824023</v>
      </c>
      <c r="AJ74">
        <f t="shared" si="43"/>
        <v>2.3766942067769605</v>
      </c>
    </row>
    <row r="75" spans="1:36" x14ac:dyDescent="0.4">
      <c r="A75" s="1" t="s">
        <v>82</v>
      </c>
      <c r="B75" s="8">
        <v>15924.76</v>
      </c>
      <c r="C75" s="8">
        <v>2076.66</v>
      </c>
      <c r="D75" s="8">
        <v>1006.09</v>
      </c>
      <c r="E75" s="8">
        <v>685</v>
      </c>
      <c r="F75" s="8">
        <v>9588.17</v>
      </c>
      <c r="G75" s="8">
        <v>80960.25</v>
      </c>
      <c r="H75" s="8">
        <v>970.78</v>
      </c>
      <c r="I75" s="8">
        <v>23269.83</v>
      </c>
      <c r="J75" s="8">
        <v>7649.76</v>
      </c>
      <c r="K75" s="8">
        <v>2654.4</v>
      </c>
      <c r="L75" s="7" t="s">
        <v>82</v>
      </c>
      <c r="M75" s="8">
        <f t="shared" si="22"/>
        <v>19692.509999999998</v>
      </c>
      <c r="N75" s="8">
        <f t="shared" si="23"/>
        <v>91519.2</v>
      </c>
      <c r="O75" s="8">
        <f t="shared" si="24"/>
        <v>33573.990000000005</v>
      </c>
      <c r="P75" s="8"/>
      <c r="Q75" s="10">
        <f t="shared" si="25"/>
        <v>611709.67737282428</v>
      </c>
      <c r="R75" s="10">
        <f t="shared" si="26"/>
        <v>213480.77126901166</v>
      </c>
      <c r="S75" s="10">
        <f t="shared" si="27"/>
        <v>154706.33415756703</v>
      </c>
      <c r="T75" s="10">
        <f t="shared" si="28"/>
        <v>199361.52349066592</v>
      </c>
      <c r="U75" s="10">
        <f t="shared" si="29"/>
        <v>91811.890134844842</v>
      </c>
      <c r="V75" s="10">
        <f t="shared" si="30"/>
        <v>94529.381988810812</v>
      </c>
      <c r="W75" s="10">
        <f t="shared" si="31"/>
        <v>71774.191434912253</v>
      </c>
      <c r="X75" s="10">
        <f t="shared" si="32"/>
        <v>25671.796545135647</v>
      </c>
      <c r="Y75" s="10">
        <f t="shared" si="33"/>
        <v>899894.52526506234</v>
      </c>
      <c r="Z75" s="10">
        <f t="shared" si="34"/>
        <v>99230.420072502631</v>
      </c>
      <c r="AA75" s="10">
        <f t="shared" si="35"/>
        <v>104550.66189389376</v>
      </c>
      <c r="AB75" s="10">
        <f t="shared" si="36"/>
        <v>140182.2171391242</v>
      </c>
      <c r="AC75" s="10">
        <f t="shared" si="37"/>
        <v>113561.42962363074</v>
      </c>
      <c r="AD75" s="10">
        <f t="shared" si="38"/>
        <v>116989.34075000485</v>
      </c>
      <c r="AE75" s="10">
        <f t="shared" si="39"/>
        <v>165202.84090159004</v>
      </c>
      <c r="AF75" s="10">
        <f t="shared" si="40"/>
        <v>210981.75870630005</v>
      </c>
      <c r="AG75" s="10">
        <f t="shared" si="41"/>
        <v>43760.239254119428</v>
      </c>
      <c r="AH75" s="10">
        <f t="shared" si="42"/>
        <v>3357399.0000000005</v>
      </c>
      <c r="AJ75">
        <f t="shared" si="43"/>
        <v>2.1785806083329429</v>
      </c>
    </row>
    <row r="76" spans="1:36" x14ac:dyDescent="0.4">
      <c r="A76" s="1" t="s">
        <v>83</v>
      </c>
      <c r="B76" s="8">
        <v>14680.44</v>
      </c>
      <c r="C76" s="8">
        <v>2146.62</v>
      </c>
      <c r="D76" s="8">
        <v>952.58</v>
      </c>
      <c r="E76" s="8">
        <v>664.44</v>
      </c>
      <c r="F76" s="8">
        <v>8246.19</v>
      </c>
      <c r="G76" s="8">
        <v>60235.11</v>
      </c>
      <c r="H76" s="8">
        <v>950.1</v>
      </c>
      <c r="I76" s="8">
        <v>25909.4</v>
      </c>
      <c r="J76" s="8">
        <v>7975.81</v>
      </c>
      <c r="K76" s="8">
        <v>2522.2399999999998</v>
      </c>
      <c r="L76" s="7" t="s">
        <v>83</v>
      </c>
      <c r="M76" s="8">
        <f t="shared" si="22"/>
        <v>18444.080000000002</v>
      </c>
      <c r="N76" s="8">
        <f t="shared" si="23"/>
        <v>69431.400000000009</v>
      </c>
      <c r="O76" s="8">
        <f t="shared" si="24"/>
        <v>36407.449999999997</v>
      </c>
      <c r="P76" s="8"/>
      <c r="Q76" s="10">
        <f t="shared" si="25"/>
        <v>663334.60793510778</v>
      </c>
      <c r="R76" s="10">
        <f t="shared" si="26"/>
        <v>231497.37359003135</v>
      </c>
      <c r="S76" s="10">
        <f t="shared" si="27"/>
        <v>167762.69741919005</v>
      </c>
      <c r="T76" s="10">
        <f t="shared" si="28"/>
        <v>216186.53899671274</v>
      </c>
      <c r="U76" s="10">
        <f t="shared" si="29"/>
        <v>99560.30842595284</v>
      </c>
      <c r="V76" s="10">
        <f t="shared" si="30"/>
        <v>102507.14163817078</v>
      </c>
      <c r="W76" s="10">
        <f t="shared" si="31"/>
        <v>77831.538222207004</v>
      </c>
      <c r="X76" s="10">
        <f t="shared" si="32"/>
        <v>27838.354902923322</v>
      </c>
      <c r="Y76" s="10">
        <f t="shared" si="33"/>
        <v>975840.67112254107</v>
      </c>
      <c r="Z76" s="10">
        <f t="shared" si="34"/>
        <v>107604.92146654702</v>
      </c>
      <c r="AA76" s="10">
        <f t="shared" si="35"/>
        <v>113374.16242063696</v>
      </c>
      <c r="AB76" s="10">
        <f t="shared" si="36"/>
        <v>152012.82484988545</v>
      </c>
      <c r="AC76" s="10">
        <f t="shared" si="37"/>
        <v>123145.38936095632</v>
      </c>
      <c r="AD76" s="10">
        <f t="shared" si="38"/>
        <v>126862.59732277167</v>
      </c>
      <c r="AE76" s="10">
        <f t="shared" si="39"/>
        <v>179145.05157065316</v>
      </c>
      <c r="AF76" s="10">
        <f t="shared" si="40"/>
        <v>228787.45811896896</v>
      </c>
      <c r="AG76" s="10">
        <f t="shared" si="41"/>
        <v>47453.362636743208</v>
      </c>
      <c r="AH76" s="10">
        <f t="shared" si="42"/>
        <v>3640745</v>
      </c>
      <c r="AJ76">
        <f t="shared" si="43"/>
        <v>2.0083518938932374</v>
      </c>
    </row>
    <row r="77" spans="1:36" x14ac:dyDescent="0.4">
      <c r="A77" s="1" t="s">
        <v>84</v>
      </c>
      <c r="B77" s="8">
        <v>12967.19</v>
      </c>
      <c r="C77" s="8">
        <v>3463.85</v>
      </c>
      <c r="D77" s="8">
        <v>950.51</v>
      </c>
      <c r="E77" s="8">
        <v>576.04999999999995</v>
      </c>
      <c r="F77" s="8">
        <v>6354.6</v>
      </c>
      <c r="G77" s="8">
        <v>37494.019999999997</v>
      </c>
      <c r="H77" s="8">
        <v>866.81</v>
      </c>
      <c r="I77" s="8">
        <v>31000.63</v>
      </c>
      <c r="J77" s="8">
        <v>8181.14</v>
      </c>
      <c r="K77" s="8">
        <v>2785.31</v>
      </c>
      <c r="L77" s="7" t="s">
        <v>84</v>
      </c>
      <c r="M77" s="8">
        <f t="shared" si="22"/>
        <v>17957.599999999999</v>
      </c>
      <c r="N77" s="8">
        <f t="shared" si="23"/>
        <v>44715.429999999993</v>
      </c>
      <c r="O77" s="8">
        <f t="shared" si="24"/>
        <v>41967.08</v>
      </c>
      <c r="P77" s="8"/>
      <c r="Q77" s="10">
        <f t="shared" si="25"/>
        <v>764629.67216823215</v>
      </c>
      <c r="R77" s="10">
        <f t="shared" si="26"/>
        <v>266848.37299076794</v>
      </c>
      <c r="S77" s="10">
        <f t="shared" si="27"/>
        <v>193381.0399686587</v>
      </c>
      <c r="T77" s="10">
        <f t="shared" si="28"/>
        <v>249199.48463839584</v>
      </c>
      <c r="U77" s="10">
        <f t="shared" si="29"/>
        <v>114763.74831350829</v>
      </c>
      <c r="V77" s="10">
        <f t="shared" si="30"/>
        <v>118160.5801477567</v>
      </c>
      <c r="W77" s="10">
        <f t="shared" si="31"/>
        <v>89716.86814359203</v>
      </c>
      <c r="X77" s="10">
        <f t="shared" si="32"/>
        <v>32089.434093279684</v>
      </c>
      <c r="Y77" s="10">
        <f t="shared" si="33"/>
        <v>1124857.2342268787</v>
      </c>
      <c r="Z77" s="10">
        <f t="shared" si="34"/>
        <v>124036.82069412433</v>
      </c>
      <c r="AA77" s="10">
        <f t="shared" si="35"/>
        <v>130687.05839711009</v>
      </c>
      <c r="AB77" s="10">
        <f t="shared" si="36"/>
        <v>175226.06998021371</v>
      </c>
      <c r="AC77" s="10">
        <f t="shared" si="37"/>
        <v>141950.40869224304</v>
      </c>
      <c r="AD77" s="10">
        <f t="shared" si="38"/>
        <v>146235.25599437876</v>
      </c>
      <c r="AE77" s="10">
        <f t="shared" si="39"/>
        <v>206501.54599868233</v>
      </c>
      <c r="AF77" s="10">
        <f t="shared" si="40"/>
        <v>263724.63761882309</v>
      </c>
      <c r="AG77" s="10">
        <f t="shared" si="41"/>
        <v>54699.767933354662</v>
      </c>
      <c r="AH77" s="10">
        <f t="shared" si="42"/>
        <v>4196707.9999999991</v>
      </c>
      <c r="AJ77">
        <f t="shared" si="43"/>
        <v>1.7739713928855978</v>
      </c>
    </row>
    <row r="78" spans="1:36" x14ac:dyDescent="0.4">
      <c r="A78" s="1" t="s">
        <v>85</v>
      </c>
      <c r="B78" s="8">
        <v>12662</v>
      </c>
      <c r="C78" s="8">
        <v>3078.59</v>
      </c>
      <c r="D78" s="8">
        <v>855.69</v>
      </c>
      <c r="E78" s="8">
        <v>623.38</v>
      </c>
      <c r="F78" s="8">
        <v>5176.59</v>
      </c>
      <c r="G78" s="8">
        <v>28726.46</v>
      </c>
      <c r="H78" s="8">
        <v>4448.0600000000004</v>
      </c>
      <c r="I78" s="8">
        <v>44136.1</v>
      </c>
      <c r="J78" s="8">
        <v>8346.64</v>
      </c>
      <c r="K78" s="8">
        <v>3192.31</v>
      </c>
      <c r="L78" s="7" t="s">
        <v>85</v>
      </c>
      <c r="M78" s="8">
        <f t="shared" si="22"/>
        <v>17219.66</v>
      </c>
      <c r="N78" s="8">
        <f t="shared" si="23"/>
        <v>38351.11</v>
      </c>
      <c r="O78" s="8">
        <f t="shared" si="24"/>
        <v>55675.049999999996</v>
      </c>
      <c r="P78" s="8"/>
      <c r="Q78" s="10">
        <f t="shared" si="25"/>
        <v>1014385.4475805782</v>
      </c>
      <c r="R78" s="10">
        <f t="shared" si="26"/>
        <v>354010.72718615766</v>
      </c>
      <c r="S78" s="10">
        <f t="shared" si="27"/>
        <v>256546.29936862586</v>
      </c>
      <c r="T78" s="10">
        <f t="shared" si="28"/>
        <v>330597.07197205327</v>
      </c>
      <c r="U78" s="10">
        <f t="shared" si="29"/>
        <v>152249.74969766752</v>
      </c>
      <c r="V78" s="10">
        <f t="shared" si="30"/>
        <v>156756.10997370703</v>
      </c>
      <c r="W78" s="10">
        <f t="shared" si="31"/>
        <v>119021.65029680151</v>
      </c>
      <c r="X78" s="10">
        <f t="shared" si="32"/>
        <v>42571.006789489547</v>
      </c>
      <c r="Y78" s="10">
        <f t="shared" si="33"/>
        <v>1492276.3927927122</v>
      </c>
      <c r="Z78" s="10">
        <f t="shared" si="34"/>
        <v>164551.74374739453</v>
      </c>
      <c r="AA78" s="10">
        <f t="shared" si="35"/>
        <v>173374.1902131867</v>
      </c>
      <c r="AB78" s="10">
        <f t="shared" si="36"/>
        <v>232461.25790624213</v>
      </c>
      <c r="AC78" s="10">
        <f t="shared" si="37"/>
        <v>188316.55910921286</v>
      </c>
      <c r="AD78" s="10">
        <f t="shared" si="38"/>
        <v>194000.99290324311</v>
      </c>
      <c r="AE78" s="10">
        <f t="shared" si="39"/>
        <v>273952.43840062112</v>
      </c>
      <c r="AF78" s="10">
        <f t="shared" si="40"/>
        <v>349866.6665791343</v>
      </c>
      <c r="AG78" s="10">
        <f t="shared" si="41"/>
        <v>72566.695483171978</v>
      </c>
      <c r="AH78" s="10">
        <f t="shared" si="42"/>
        <v>5567505</v>
      </c>
      <c r="AJ78">
        <f t="shared" si="43"/>
        <v>1.732219993438628</v>
      </c>
    </row>
    <row r="79" spans="1:36" x14ac:dyDescent="0.4">
      <c r="A79" s="1" t="s">
        <v>86</v>
      </c>
      <c r="B79" s="8">
        <v>11853.32</v>
      </c>
      <c r="C79" s="8">
        <v>3001.18</v>
      </c>
      <c r="D79" s="8">
        <v>771.28</v>
      </c>
      <c r="E79" s="8">
        <v>615.29999999999995</v>
      </c>
      <c r="F79" s="8">
        <v>4344.6400000000003</v>
      </c>
      <c r="G79" s="8">
        <v>22490.57</v>
      </c>
      <c r="H79" s="8">
        <v>5708.48</v>
      </c>
      <c r="I79" s="8">
        <v>35330.379999999997</v>
      </c>
      <c r="J79" s="8">
        <v>8306.1299999999992</v>
      </c>
      <c r="K79" s="8">
        <v>2815.28</v>
      </c>
      <c r="L79" s="7" t="s">
        <v>86</v>
      </c>
      <c r="M79" s="8">
        <f t="shared" si="22"/>
        <v>16241.08</v>
      </c>
      <c r="N79" s="8">
        <f t="shared" si="23"/>
        <v>32543.69</v>
      </c>
      <c r="O79" s="8">
        <f t="shared" si="24"/>
        <v>46451.789999999994</v>
      </c>
      <c r="P79" s="8"/>
      <c r="Q79" s="10">
        <f t="shared" si="25"/>
        <v>846339.96359354898</v>
      </c>
      <c r="R79" s="10">
        <f t="shared" si="26"/>
        <v>295364.47577503184</v>
      </c>
      <c r="S79" s="10">
        <f t="shared" si="27"/>
        <v>214046.23477749081</v>
      </c>
      <c r="T79" s="10">
        <f t="shared" si="28"/>
        <v>275829.58186585741</v>
      </c>
      <c r="U79" s="10">
        <f t="shared" si="29"/>
        <v>127027.69733495731</v>
      </c>
      <c r="V79" s="10">
        <f t="shared" si="30"/>
        <v>130787.52334691293</v>
      </c>
      <c r="W79" s="10">
        <f t="shared" si="31"/>
        <v>99304.243194042225</v>
      </c>
      <c r="X79" s="10">
        <f t="shared" si="32"/>
        <v>35518.593471832399</v>
      </c>
      <c r="Y79" s="10">
        <f t="shared" si="33"/>
        <v>1245062.3685109322</v>
      </c>
      <c r="Z79" s="10">
        <f t="shared" si="34"/>
        <v>137291.71405661572</v>
      </c>
      <c r="AA79" s="10">
        <f t="shared" si="35"/>
        <v>144652.61324781933</v>
      </c>
      <c r="AB79" s="10">
        <f t="shared" si="36"/>
        <v>193951.17804827474</v>
      </c>
      <c r="AC79" s="10">
        <f t="shared" si="37"/>
        <v>157119.59409580668</v>
      </c>
      <c r="AD79" s="10">
        <f t="shared" si="38"/>
        <v>161862.33119023583</v>
      </c>
      <c r="AE79" s="10">
        <f t="shared" si="39"/>
        <v>228568.8317940188</v>
      </c>
      <c r="AF79" s="10">
        <f t="shared" si="40"/>
        <v>291906.93001504196</v>
      </c>
      <c r="AG79" s="10">
        <f t="shared" si="41"/>
        <v>60545.125681580052</v>
      </c>
      <c r="AH79" s="10">
        <f t="shared" si="42"/>
        <v>4645178.9999999991</v>
      </c>
      <c r="AJ79">
        <f t="shared" si="43"/>
        <v>1.6215888400431175</v>
      </c>
    </row>
    <row r="80" spans="1:36" x14ac:dyDescent="0.4">
      <c r="A80" s="1" t="s">
        <v>87</v>
      </c>
      <c r="B80" s="8">
        <v>10587.48</v>
      </c>
      <c r="C80" s="8">
        <v>2656.38</v>
      </c>
      <c r="D80" s="8">
        <v>632.52</v>
      </c>
      <c r="E80" s="8">
        <v>525.26</v>
      </c>
      <c r="F80" s="8">
        <v>3554.17</v>
      </c>
      <c r="G80" s="8">
        <v>17788.939999999999</v>
      </c>
      <c r="H80" s="8">
        <v>2446.65</v>
      </c>
      <c r="I80" s="8">
        <v>35332.89</v>
      </c>
      <c r="J80" s="8">
        <v>8416.08</v>
      </c>
      <c r="K80" s="8">
        <v>2347.1</v>
      </c>
      <c r="L80" s="7" t="s">
        <v>87</v>
      </c>
      <c r="M80" s="8">
        <f t="shared" si="22"/>
        <v>14401.640000000001</v>
      </c>
      <c r="N80" s="8">
        <f t="shared" si="23"/>
        <v>23789.760000000002</v>
      </c>
      <c r="O80" s="8">
        <f t="shared" si="24"/>
        <v>46096.07</v>
      </c>
      <c r="P80" s="8"/>
      <c r="Q80" s="10">
        <f t="shared" si="25"/>
        <v>839858.83440887195</v>
      </c>
      <c r="R80" s="10">
        <f t="shared" si="26"/>
        <v>293102.62426569941</v>
      </c>
      <c r="S80" s="10">
        <f t="shared" si="27"/>
        <v>212407.104689392</v>
      </c>
      <c r="T80" s="10">
        <f t="shared" si="28"/>
        <v>273717.32529057103</v>
      </c>
      <c r="U80" s="10">
        <f t="shared" si="29"/>
        <v>126054.94058013709</v>
      </c>
      <c r="V80" s="10">
        <f t="shared" si="30"/>
        <v>129785.97447646115</v>
      </c>
      <c r="W80" s="10">
        <f t="shared" si="31"/>
        <v>98543.787991153731</v>
      </c>
      <c r="X80" s="10">
        <f t="shared" si="32"/>
        <v>35246.59805314563</v>
      </c>
      <c r="Y80" s="10">
        <f t="shared" si="33"/>
        <v>1235527.8901684033</v>
      </c>
      <c r="Z80" s="10">
        <f t="shared" si="34"/>
        <v>136240.35718696186</v>
      </c>
      <c r="AA80" s="10">
        <f t="shared" si="35"/>
        <v>143544.88784941135</v>
      </c>
      <c r="AB80" s="10">
        <f t="shared" si="36"/>
        <v>192465.93252694324</v>
      </c>
      <c r="AC80" s="10">
        <f t="shared" si="37"/>
        <v>155916.39865356949</v>
      </c>
      <c r="AD80" s="10">
        <f t="shared" si="38"/>
        <v>160622.81666450948</v>
      </c>
      <c r="AE80" s="10">
        <f t="shared" si="39"/>
        <v>226818.49009898902</v>
      </c>
      <c r="AF80" s="10">
        <f t="shared" si="40"/>
        <v>289671.55580998014</v>
      </c>
      <c r="AG80" s="10">
        <f t="shared" si="41"/>
        <v>60081.481285800008</v>
      </c>
      <c r="AH80" s="10">
        <f t="shared" si="42"/>
        <v>4609607.0000000009</v>
      </c>
      <c r="AJ80">
        <f t="shared" si="43"/>
        <v>1.4484160903594696</v>
      </c>
    </row>
    <row r="81" spans="1:36" x14ac:dyDescent="0.4">
      <c r="A81" s="1" t="s">
        <v>88</v>
      </c>
      <c r="B81" s="8">
        <v>8851.6299999999992</v>
      </c>
      <c r="C81" s="8">
        <v>8091.33</v>
      </c>
      <c r="D81" s="8">
        <v>548.24</v>
      </c>
      <c r="E81" s="8">
        <v>418.28</v>
      </c>
      <c r="F81" s="8">
        <v>2791.32</v>
      </c>
      <c r="G81" s="8">
        <v>15427.3</v>
      </c>
      <c r="H81" s="8">
        <v>1114.56</v>
      </c>
      <c r="I81" s="8">
        <v>35573.120000000003</v>
      </c>
      <c r="J81" s="8">
        <v>7527.6</v>
      </c>
      <c r="K81" s="8">
        <v>1823.9</v>
      </c>
      <c r="L81" s="7" t="s">
        <v>88</v>
      </c>
      <c r="M81" s="8">
        <f t="shared" si="22"/>
        <v>17909.48</v>
      </c>
      <c r="N81" s="8">
        <f t="shared" si="23"/>
        <v>19333.18</v>
      </c>
      <c r="O81" s="8">
        <f t="shared" si="24"/>
        <v>44924.62</v>
      </c>
      <c r="P81" s="8"/>
      <c r="Q81" s="10">
        <f t="shared" si="25"/>
        <v>818515.30921099125</v>
      </c>
      <c r="R81" s="10">
        <f t="shared" si="26"/>
        <v>285653.94004606741</v>
      </c>
      <c r="S81" s="10">
        <f t="shared" si="27"/>
        <v>207009.15421794428</v>
      </c>
      <c r="T81" s="10">
        <f t="shared" si="28"/>
        <v>266761.28412021446</v>
      </c>
      <c r="U81" s="10">
        <f t="shared" si="29"/>
        <v>122851.47746185822</v>
      </c>
      <c r="V81" s="10">
        <f t="shared" si="30"/>
        <v>126487.69373798497</v>
      </c>
      <c r="W81" s="10">
        <f t="shared" si="31"/>
        <v>96039.472103872307</v>
      </c>
      <c r="X81" s="10">
        <f t="shared" si="32"/>
        <v>34350.86817228252</v>
      </c>
      <c r="Y81" s="10">
        <f t="shared" si="33"/>
        <v>1204129.1365015989</v>
      </c>
      <c r="Z81" s="10">
        <f t="shared" si="34"/>
        <v>132778.04974021713</v>
      </c>
      <c r="AA81" s="10">
        <f t="shared" si="35"/>
        <v>139896.94868949614</v>
      </c>
      <c r="AB81" s="10">
        <f t="shared" si="36"/>
        <v>187574.75163758139</v>
      </c>
      <c r="AC81" s="10">
        <f t="shared" si="37"/>
        <v>151954.05945192554</v>
      </c>
      <c r="AD81" s="10">
        <f t="shared" si="38"/>
        <v>156540.87218243891</v>
      </c>
      <c r="AE81" s="10">
        <f t="shared" si="39"/>
        <v>221054.29978457699</v>
      </c>
      <c r="AF81" s="10">
        <f t="shared" si="40"/>
        <v>282310.06612000009</v>
      </c>
      <c r="AG81" s="10">
        <f t="shared" si="41"/>
        <v>58554.616820949748</v>
      </c>
      <c r="AH81" s="10">
        <f t="shared" si="42"/>
        <v>4492462</v>
      </c>
      <c r="AJ81">
        <f t="shared" si="43"/>
        <v>1.2109438051272439</v>
      </c>
    </row>
    <row r="82" spans="1:36" x14ac:dyDescent="0.4">
      <c r="A82" s="1" t="s">
        <v>89</v>
      </c>
      <c r="B82" s="8">
        <v>9376.59</v>
      </c>
      <c r="C82" s="8">
        <v>1739.88</v>
      </c>
      <c r="D82" s="8">
        <v>579.49</v>
      </c>
      <c r="E82" s="8">
        <v>481.16</v>
      </c>
      <c r="F82" s="8">
        <v>3203.75</v>
      </c>
      <c r="G82" s="8">
        <v>16363.99</v>
      </c>
      <c r="H82" s="8">
        <v>884.48</v>
      </c>
      <c r="I82" s="8">
        <v>40192.480000000003</v>
      </c>
      <c r="J82" s="8">
        <v>8405.35</v>
      </c>
      <c r="K82" s="8">
        <v>1912.05</v>
      </c>
      <c r="L82" s="7" t="s">
        <v>89</v>
      </c>
      <c r="M82" s="8">
        <f t="shared" si="22"/>
        <v>12177.12</v>
      </c>
      <c r="N82" s="8">
        <f t="shared" si="23"/>
        <v>20452.219999999998</v>
      </c>
      <c r="O82" s="8">
        <f t="shared" si="24"/>
        <v>50509.880000000005</v>
      </c>
      <c r="P82" s="8"/>
      <c r="Q82" s="10">
        <f t="shared" si="25"/>
        <v>920277.34561605786</v>
      </c>
      <c r="R82" s="10">
        <f t="shared" si="26"/>
        <v>321167.90822613653</v>
      </c>
      <c r="S82" s="10">
        <f t="shared" si="27"/>
        <v>232745.59781362335</v>
      </c>
      <c r="T82" s="10">
        <f t="shared" si="28"/>
        <v>299926.42006894969</v>
      </c>
      <c r="U82" s="10">
        <f t="shared" si="29"/>
        <v>138125.00549634395</v>
      </c>
      <c r="V82" s="10">
        <f t="shared" si="30"/>
        <v>142213.29489670412</v>
      </c>
      <c r="W82" s="10">
        <f t="shared" si="31"/>
        <v>107979.59362215947</v>
      </c>
      <c r="X82" s="10">
        <f t="shared" si="32"/>
        <v>38621.544918528183</v>
      </c>
      <c r="Y82" s="10">
        <f t="shared" si="33"/>
        <v>1353832.6687949589</v>
      </c>
      <c r="Z82" s="10">
        <f t="shared" si="34"/>
        <v>149285.70033563775</v>
      </c>
      <c r="AA82" s="10">
        <f t="shared" si="35"/>
        <v>157289.65744557456</v>
      </c>
      <c r="AB82" s="10">
        <f t="shared" si="36"/>
        <v>210895.01026929196</v>
      </c>
      <c r="AC82" s="10">
        <f t="shared" si="37"/>
        <v>170845.77027985157</v>
      </c>
      <c r="AD82" s="10">
        <f t="shared" si="38"/>
        <v>176002.83917883618</v>
      </c>
      <c r="AE82" s="10">
        <f t="shared" si="39"/>
        <v>248536.90817202258</v>
      </c>
      <c r="AF82" s="10">
        <f t="shared" si="40"/>
        <v>317408.30668157613</v>
      </c>
      <c r="AG82" s="10">
        <f t="shared" si="41"/>
        <v>65834.428183747645</v>
      </c>
      <c r="AH82" s="10">
        <f t="shared" si="42"/>
        <v>5050988</v>
      </c>
      <c r="AJ82">
        <f t="shared" si="43"/>
        <v>1.282760754089141</v>
      </c>
    </row>
    <row r="83" spans="1:36" x14ac:dyDescent="0.4">
      <c r="A83" s="1" t="s">
        <v>90</v>
      </c>
      <c r="B83" s="8">
        <v>9378.4599999999991</v>
      </c>
      <c r="C83" s="8">
        <v>1555.18</v>
      </c>
      <c r="D83" s="8">
        <v>488.59</v>
      </c>
      <c r="E83" s="8">
        <v>441.06</v>
      </c>
      <c r="F83" s="8">
        <v>3060.21</v>
      </c>
      <c r="G83" s="8">
        <v>17633.88</v>
      </c>
      <c r="H83" s="8">
        <v>842.05</v>
      </c>
      <c r="I83" s="8">
        <v>44909.41</v>
      </c>
      <c r="J83" s="8">
        <v>9064.81</v>
      </c>
      <c r="K83" s="8">
        <v>1988.94</v>
      </c>
      <c r="L83" s="7" t="s">
        <v>90</v>
      </c>
      <c r="M83" s="8">
        <f t="shared" si="22"/>
        <v>11863.289999999999</v>
      </c>
      <c r="N83" s="8">
        <f t="shared" si="23"/>
        <v>21536.14</v>
      </c>
      <c r="O83" s="8">
        <f t="shared" si="24"/>
        <v>55963.16</v>
      </c>
      <c r="P83" s="8"/>
      <c r="Q83" s="10">
        <f t="shared" si="25"/>
        <v>1019634.7395219854</v>
      </c>
      <c r="R83" s="10">
        <f t="shared" si="26"/>
        <v>355842.6793911329</v>
      </c>
      <c r="S83" s="10">
        <f t="shared" si="27"/>
        <v>257873.88783619073</v>
      </c>
      <c r="T83" s="10">
        <f t="shared" si="28"/>
        <v>332307.86203700828</v>
      </c>
      <c r="U83" s="10">
        <f t="shared" si="29"/>
        <v>153037.6192260361</v>
      </c>
      <c r="V83" s="10">
        <f t="shared" si="30"/>
        <v>157567.29923792012</v>
      </c>
      <c r="W83" s="10">
        <f t="shared" si="31"/>
        <v>119637.56941437774</v>
      </c>
      <c r="X83" s="10">
        <f t="shared" si="32"/>
        <v>42791.305339129285</v>
      </c>
      <c r="Y83" s="10">
        <f t="shared" si="33"/>
        <v>1499998.6984130489</v>
      </c>
      <c r="Z83" s="10">
        <f t="shared" si="34"/>
        <v>165403.27424249175</v>
      </c>
      <c r="AA83" s="10">
        <f t="shared" si="35"/>
        <v>174271.37554022856</v>
      </c>
      <c r="AB83" s="10">
        <f t="shared" si="36"/>
        <v>233664.20991105164</v>
      </c>
      <c r="AC83" s="10">
        <f t="shared" si="37"/>
        <v>189291.06894521581</v>
      </c>
      <c r="AD83" s="10">
        <f t="shared" si="38"/>
        <v>195004.91882814764</v>
      </c>
      <c r="AE83" s="10">
        <f t="shared" si="39"/>
        <v>275370.1010165973</v>
      </c>
      <c r="AF83" s="10">
        <f t="shared" si="40"/>
        <v>351677.17389449576</v>
      </c>
      <c r="AG83" s="10">
        <f t="shared" si="41"/>
        <v>72942.217204942455</v>
      </c>
      <c r="AH83" s="10">
        <f t="shared" si="42"/>
        <v>5596315.9999999991</v>
      </c>
      <c r="AJ83">
        <f t="shared" si="43"/>
        <v>1.2830165787130337</v>
      </c>
    </row>
    <row r="84" spans="1:36" x14ac:dyDescent="0.4">
      <c r="A84" s="1" t="s">
        <v>91</v>
      </c>
      <c r="B84" s="8">
        <v>9321.75</v>
      </c>
      <c r="C84" s="8">
        <v>1568.86</v>
      </c>
      <c r="D84" s="8">
        <v>514.15</v>
      </c>
      <c r="E84" s="8">
        <v>462.93</v>
      </c>
      <c r="F84" s="8">
        <v>2909.02</v>
      </c>
      <c r="G84" s="8">
        <v>18962.900000000001</v>
      </c>
      <c r="H84" s="8">
        <v>703.44</v>
      </c>
      <c r="I84" s="8">
        <v>68782.899999999994</v>
      </c>
      <c r="J84" s="8">
        <v>9240.73</v>
      </c>
      <c r="K84" s="8">
        <v>1992.69</v>
      </c>
      <c r="L84" s="7" t="s">
        <v>91</v>
      </c>
      <c r="M84" s="8">
        <f t="shared" si="22"/>
        <v>11867.69</v>
      </c>
      <c r="N84" s="8">
        <f t="shared" si="23"/>
        <v>22575.360000000001</v>
      </c>
      <c r="O84" s="8">
        <f t="shared" si="24"/>
        <v>80016.319999999992</v>
      </c>
      <c r="P84" s="8"/>
      <c r="Q84" s="10">
        <f t="shared" si="25"/>
        <v>1457877.2821389611</v>
      </c>
      <c r="R84" s="10">
        <f t="shared" si="26"/>
        <v>508785.09547742282</v>
      </c>
      <c r="S84" s="10">
        <f t="shared" si="27"/>
        <v>368708.97799096297</v>
      </c>
      <c r="T84" s="10">
        <f t="shared" si="28"/>
        <v>475134.93211014353</v>
      </c>
      <c r="U84" s="10">
        <f t="shared" si="29"/>
        <v>218813.71802501241</v>
      </c>
      <c r="V84" s="10">
        <f t="shared" si="30"/>
        <v>225290.27019484193</v>
      </c>
      <c r="W84" s="10">
        <f t="shared" si="31"/>
        <v>171058.21112108501</v>
      </c>
      <c r="X84" s="10">
        <f t="shared" si="32"/>
        <v>61183.156584322205</v>
      </c>
      <c r="Y84" s="10">
        <f t="shared" si="33"/>
        <v>2144703.3343328359</v>
      </c>
      <c r="Z84" s="10">
        <f t="shared" si="34"/>
        <v>236494.17439678131</v>
      </c>
      <c r="AA84" s="10">
        <f t="shared" si="35"/>
        <v>249173.81634752397</v>
      </c>
      <c r="AB84" s="10">
        <f t="shared" si="36"/>
        <v>334093.89664182428</v>
      </c>
      <c r="AC84" s="10">
        <f t="shared" si="37"/>
        <v>270649.0259996478</v>
      </c>
      <c r="AD84" s="10">
        <f t="shared" si="38"/>
        <v>278818.70835254987</v>
      </c>
      <c r="AE84" s="10">
        <f t="shared" si="39"/>
        <v>393725.12419556669</v>
      </c>
      <c r="AF84" s="10">
        <f t="shared" si="40"/>
        <v>502829.2412908352</v>
      </c>
      <c r="AG84" s="10">
        <f t="shared" si="41"/>
        <v>104293.03479968215</v>
      </c>
      <c r="AH84" s="10">
        <f t="shared" si="42"/>
        <v>8001631.9999999981</v>
      </c>
      <c r="AJ84">
        <f t="shared" si="43"/>
        <v>1.2752583891831093</v>
      </c>
    </row>
    <row r="85" spans="1:36" x14ac:dyDescent="0.4">
      <c r="A85" s="1" t="s">
        <v>92</v>
      </c>
      <c r="B85" s="8">
        <v>11101.57</v>
      </c>
      <c r="C85" s="8">
        <v>1334.75</v>
      </c>
      <c r="D85" s="8">
        <v>489.53</v>
      </c>
      <c r="E85" s="8">
        <v>466.58</v>
      </c>
      <c r="F85" s="8">
        <v>2915.71</v>
      </c>
      <c r="G85" s="8">
        <v>17311.939999999999</v>
      </c>
      <c r="H85" s="8">
        <v>785.47</v>
      </c>
      <c r="I85" s="8">
        <v>61442.09</v>
      </c>
      <c r="J85" s="8">
        <v>9441.51</v>
      </c>
      <c r="K85" s="8">
        <v>2132.42</v>
      </c>
      <c r="L85" s="7" t="s">
        <v>92</v>
      </c>
      <c r="M85" s="8">
        <f t="shared" si="22"/>
        <v>13392.43</v>
      </c>
      <c r="N85" s="8">
        <f t="shared" si="23"/>
        <v>21013.119999999999</v>
      </c>
      <c r="O85" s="8">
        <f t="shared" si="24"/>
        <v>73016.01999999999</v>
      </c>
      <c r="P85" s="8"/>
      <c r="Q85" s="10">
        <f t="shared" si="25"/>
        <v>1330333.5718288971</v>
      </c>
      <c r="R85" s="10">
        <f t="shared" si="26"/>
        <v>464273.57202982355</v>
      </c>
      <c r="S85" s="10">
        <f t="shared" si="27"/>
        <v>336452.1401530052</v>
      </c>
      <c r="T85" s="10">
        <f t="shared" si="28"/>
        <v>433567.32358664932</v>
      </c>
      <c r="U85" s="10">
        <f t="shared" si="29"/>
        <v>199670.60234198056</v>
      </c>
      <c r="V85" s="10">
        <f t="shared" si="30"/>
        <v>205580.54749771024</v>
      </c>
      <c r="W85" s="10">
        <f t="shared" si="31"/>
        <v>156093.0290768354</v>
      </c>
      <c r="X85" s="10">
        <f t="shared" si="32"/>
        <v>55830.492889750509</v>
      </c>
      <c r="Y85" s="10">
        <f t="shared" si="33"/>
        <v>1957072.0267279604</v>
      </c>
      <c r="Z85" s="10">
        <f t="shared" si="34"/>
        <v>215804.26802480884</v>
      </c>
      <c r="AA85" s="10">
        <f t="shared" si="35"/>
        <v>227374.62005134873</v>
      </c>
      <c r="AB85" s="10">
        <f t="shared" si="36"/>
        <v>304865.39044881565</v>
      </c>
      <c r="AC85" s="10">
        <f t="shared" si="37"/>
        <v>246971.05159760913</v>
      </c>
      <c r="AD85" s="10">
        <f t="shared" si="38"/>
        <v>254426.00191365893</v>
      </c>
      <c r="AE85" s="10">
        <f t="shared" si="39"/>
        <v>359279.7262204258</v>
      </c>
      <c r="AF85" s="10">
        <f t="shared" si="40"/>
        <v>458838.77112414624</v>
      </c>
      <c r="AG85" s="10">
        <f t="shared" si="41"/>
        <v>95168.864486573337</v>
      </c>
      <c r="AH85" s="10">
        <f t="shared" si="42"/>
        <v>7301601.9999999991</v>
      </c>
      <c r="AJ85">
        <f t="shared" si="43"/>
        <v>1.5187459731921076</v>
      </c>
    </row>
    <row r="86" spans="1:36" x14ac:dyDescent="0.4">
      <c r="A86" s="1" t="s">
        <v>93</v>
      </c>
      <c r="B86" s="8">
        <v>14320.37</v>
      </c>
      <c r="C86" s="8">
        <v>1584.68</v>
      </c>
      <c r="D86" s="8">
        <v>601.25</v>
      </c>
      <c r="E86" s="8">
        <v>479.56</v>
      </c>
      <c r="F86" s="8">
        <v>3636.52</v>
      </c>
      <c r="G86" s="8">
        <v>19835.18</v>
      </c>
      <c r="H86" s="8">
        <v>924.5</v>
      </c>
      <c r="I86" s="8">
        <v>61752.69</v>
      </c>
      <c r="J86" s="8">
        <v>10817.18</v>
      </c>
      <c r="K86" s="8">
        <v>2439.25</v>
      </c>
      <c r="L86" s="7" t="s">
        <v>93</v>
      </c>
      <c r="M86" s="8">
        <f t="shared" si="22"/>
        <v>16985.860000000004</v>
      </c>
      <c r="N86" s="8">
        <f t="shared" si="23"/>
        <v>24396.2</v>
      </c>
      <c r="O86" s="8">
        <f t="shared" si="24"/>
        <v>75009.119999999995</v>
      </c>
      <c r="P86" s="8"/>
      <c r="Q86" s="10">
        <f t="shared" si="25"/>
        <v>1366647.353955233</v>
      </c>
      <c r="R86" s="10">
        <f t="shared" si="26"/>
        <v>476946.73137776728</v>
      </c>
      <c r="S86" s="10">
        <f t="shared" si="27"/>
        <v>345636.1899072777</v>
      </c>
      <c r="T86" s="10">
        <f t="shared" si="28"/>
        <v>445402.3021658783</v>
      </c>
      <c r="U86" s="10">
        <f t="shared" si="29"/>
        <v>205120.96073631378</v>
      </c>
      <c r="V86" s="10">
        <f t="shared" si="30"/>
        <v>211192.228183917</v>
      </c>
      <c r="W86" s="10">
        <f t="shared" si="31"/>
        <v>160353.86137436464</v>
      </c>
      <c r="X86" s="10">
        <f t="shared" si="32"/>
        <v>57354.483862944639</v>
      </c>
      <c r="Y86" s="10">
        <f t="shared" si="33"/>
        <v>2010493.7313959429</v>
      </c>
      <c r="Z86" s="10">
        <f t="shared" si="34"/>
        <v>221695.02304816191</v>
      </c>
      <c r="AA86" s="10">
        <f t="shared" si="35"/>
        <v>233581.20807442017</v>
      </c>
      <c r="AB86" s="10">
        <f t="shared" si="36"/>
        <v>313187.22461210657</v>
      </c>
      <c r="AC86" s="10">
        <f t="shared" si="37"/>
        <v>253712.55850169942</v>
      </c>
      <c r="AD86" s="10">
        <f t="shared" si="38"/>
        <v>261371.00472830312</v>
      </c>
      <c r="AE86" s="10">
        <f t="shared" si="39"/>
        <v>369086.8948709484</v>
      </c>
      <c r="AF86" s="10">
        <f t="shared" si="40"/>
        <v>471363.57807373808</v>
      </c>
      <c r="AG86" s="10">
        <f t="shared" si="41"/>
        <v>97766.665130982467</v>
      </c>
      <c r="AH86" s="10">
        <f t="shared" si="42"/>
        <v>7500911.9999999981</v>
      </c>
      <c r="AJ86">
        <f t="shared" si="43"/>
        <v>1.9590926573557672</v>
      </c>
    </row>
    <row r="87" spans="1:36" x14ac:dyDescent="0.4">
      <c r="A87" s="1" t="s">
        <v>94</v>
      </c>
      <c r="B87" s="8">
        <v>11181.37</v>
      </c>
      <c r="C87" s="8">
        <v>1411.86</v>
      </c>
      <c r="D87" s="8">
        <v>535.95000000000005</v>
      </c>
      <c r="E87" s="8">
        <v>525.09</v>
      </c>
      <c r="F87" s="8">
        <v>3626.52</v>
      </c>
      <c r="G87" s="8">
        <v>17588.82</v>
      </c>
      <c r="H87" s="8">
        <v>934.52</v>
      </c>
      <c r="I87" s="8">
        <v>57383.03</v>
      </c>
      <c r="J87" s="8">
        <v>9811</v>
      </c>
      <c r="K87" s="8">
        <v>2113.39</v>
      </c>
      <c r="L87" s="7" t="s">
        <v>94</v>
      </c>
      <c r="M87" s="8">
        <f t="shared" si="22"/>
        <v>13654.270000000002</v>
      </c>
      <c r="N87" s="8">
        <f t="shared" si="23"/>
        <v>22149.86</v>
      </c>
      <c r="O87" s="8">
        <f t="shared" si="24"/>
        <v>69307.42</v>
      </c>
      <c r="P87" s="8"/>
      <c r="Q87" s="10">
        <f t="shared" si="25"/>
        <v>1262763.8099535629</v>
      </c>
      <c r="R87" s="10">
        <f t="shared" si="26"/>
        <v>440692.37752990698</v>
      </c>
      <c r="S87" s="10">
        <f t="shared" si="27"/>
        <v>319363.19984961103</v>
      </c>
      <c r="T87" s="10">
        <f t="shared" si="28"/>
        <v>411545.74837269704</v>
      </c>
      <c r="U87" s="10">
        <f t="shared" si="29"/>
        <v>189529.01429259815</v>
      </c>
      <c r="V87" s="10">
        <f t="shared" si="30"/>
        <v>195138.78391692336</v>
      </c>
      <c r="W87" s="10">
        <f t="shared" si="31"/>
        <v>148164.81541037766</v>
      </c>
      <c r="X87" s="10">
        <f t="shared" si="32"/>
        <v>52994.773195210488</v>
      </c>
      <c r="Y87" s="10">
        <f t="shared" si="33"/>
        <v>1857669.2200791824</v>
      </c>
      <c r="Z87" s="10">
        <f t="shared" si="34"/>
        <v>204843.22538790799</v>
      </c>
      <c r="AA87" s="10">
        <f t="shared" si="35"/>
        <v>215825.90079874595</v>
      </c>
      <c r="AB87" s="10">
        <f t="shared" si="36"/>
        <v>289380.79149342922</v>
      </c>
      <c r="AC87" s="10">
        <f t="shared" si="37"/>
        <v>234426.99836169061</v>
      </c>
      <c r="AD87" s="10">
        <f t="shared" si="38"/>
        <v>241503.29987242204</v>
      </c>
      <c r="AE87" s="10">
        <f t="shared" si="39"/>
        <v>341031.33644704364</v>
      </c>
      <c r="AF87" s="10">
        <f t="shared" si="40"/>
        <v>435533.61882207601</v>
      </c>
      <c r="AG87" s="10">
        <f t="shared" si="41"/>
        <v>90335.08621661416</v>
      </c>
      <c r="AH87" s="10">
        <f t="shared" si="42"/>
        <v>6930742</v>
      </c>
      <c r="AJ87">
        <f t="shared" si="43"/>
        <v>1.5296629812063554</v>
      </c>
    </row>
    <row r="88" spans="1:36" x14ac:dyDescent="0.4">
      <c r="A88" s="1" t="s">
        <v>95</v>
      </c>
      <c r="B88" s="8">
        <v>9700.77</v>
      </c>
      <c r="C88" s="8">
        <v>1420.24</v>
      </c>
      <c r="D88" s="8">
        <v>407.59</v>
      </c>
      <c r="E88" s="8">
        <v>486.97</v>
      </c>
      <c r="F88" s="8">
        <v>2647.97</v>
      </c>
      <c r="G88" s="8">
        <v>12701.25</v>
      </c>
      <c r="H88" s="8">
        <v>719.8</v>
      </c>
      <c r="I88" s="8">
        <v>49431.68</v>
      </c>
      <c r="J88" s="8">
        <v>10315.65</v>
      </c>
      <c r="K88" s="8">
        <v>2246.2600000000002</v>
      </c>
      <c r="L88" s="7" t="s">
        <v>95</v>
      </c>
      <c r="M88" s="8">
        <f t="shared" si="22"/>
        <v>12015.57</v>
      </c>
      <c r="N88" s="8">
        <f t="shared" si="23"/>
        <v>16069.019999999999</v>
      </c>
      <c r="O88" s="8">
        <f t="shared" si="24"/>
        <v>61993.590000000004</v>
      </c>
      <c r="P88" s="8"/>
      <c r="Q88" s="10">
        <f t="shared" si="25"/>
        <v>1129507.6616774814</v>
      </c>
      <c r="R88" s="10">
        <f t="shared" si="26"/>
        <v>394187.26838647679</v>
      </c>
      <c r="S88" s="10">
        <f t="shared" si="27"/>
        <v>285661.64016154187</v>
      </c>
      <c r="T88" s="10">
        <f t="shared" si="28"/>
        <v>368116.40645200975</v>
      </c>
      <c r="U88" s="10">
        <f t="shared" si="29"/>
        <v>169528.51520312644</v>
      </c>
      <c r="V88" s="10">
        <f t="shared" si="30"/>
        <v>174546.30057278631</v>
      </c>
      <c r="W88" s="10">
        <f t="shared" si="31"/>
        <v>132529.3715878709</v>
      </c>
      <c r="X88" s="10">
        <f t="shared" si="32"/>
        <v>47402.373968138898</v>
      </c>
      <c r="Y88" s="10">
        <f t="shared" si="33"/>
        <v>1661634.2663629467</v>
      </c>
      <c r="Z88" s="10">
        <f t="shared" si="34"/>
        <v>183226.65782358599</v>
      </c>
      <c r="AA88" s="10">
        <f t="shared" si="35"/>
        <v>193050.36034378613</v>
      </c>
      <c r="AB88" s="10">
        <f t="shared" si="36"/>
        <v>258843.19661183664</v>
      </c>
      <c r="AC88" s="10">
        <f t="shared" si="37"/>
        <v>209688.53293579994</v>
      </c>
      <c r="AD88" s="10">
        <f t="shared" si="38"/>
        <v>216018.09093366895</v>
      </c>
      <c r="AE88" s="10">
        <f t="shared" si="39"/>
        <v>305043.19521416439</v>
      </c>
      <c r="AF88" s="10">
        <f t="shared" si="40"/>
        <v>389572.89993585198</v>
      </c>
      <c r="AG88" s="10">
        <f t="shared" si="41"/>
        <v>80802.26182892725</v>
      </c>
      <c r="AH88" s="10">
        <f t="shared" si="42"/>
        <v>6199359.0000000009</v>
      </c>
      <c r="AJ88">
        <f t="shared" si="43"/>
        <v>1.3271100731124339</v>
      </c>
    </row>
    <row r="89" spans="1:36" x14ac:dyDescent="0.4">
      <c r="A89" s="1" t="s">
        <v>96</v>
      </c>
      <c r="B89" s="8">
        <v>12487.49</v>
      </c>
      <c r="C89" s="8">
        <v>1353.21</v>
      </c>
      <c r="D89" s="8">
        <v>395.21</v>
      </c>
      <c r="E89" s="8">
        <v>548.38</v>
      </c>
      <c r="F89" s="8">
        <v>2938.98</v>
      </c>
      <c r="G89" s="8">
        <v>11024.75</v>
      </c>
      <c r="H89" s="8">
        <v>931.18</v>
      </c>
      <c r="I89" s="8">
        <v>24432.61</v>
      </c>
      <c r="J89" s="8">
        <v>7966.17</v>
      </c>
      <c r="K89" s="8">
        <v>2011.09</v>
      </c>
      <c r="L89" s="7" t="s">
        <v>96</v>
      </c>
      <c r="M89" s="8">
        <f t="shared" si="22"/>
        <v>14784.289999999999</v>
      </c>
      <c r="N89" s="8">
        <f t="shared" si="23"/>
        <v>14894.91</v>
      </c>
      <c r="O89" s="8">
        <f t="shared" si="24"/>
        <v>34409.869999999995</v>
      </c>
      <c r="P89" s="8"/>
      <c r="Q89" s="10">
        <f t="shared" si="25"/>
        <v>626939.20133236528</v>
      </c>
      <c r="R89" s="10">
        <f t="shared" si="26"/>
        <v>218795.72808791639</v>
      </c>
      <c r="S89" s="10">
        <f t="shared" si="27"/>
        <v>158558.00417342235</v>
      </c>
      <c r="T89" s="10">
        <f t="shared" si="28"/>
        <v>204324.95828812002</v>
      </c>
      <c r="U89" s="10">
        <f t="shared" si="29"/>
        <v>94097.698962628288</v>
      </c>
      <c r="V89" s="10">
        <f t="shared" si="30"/>
        <v>96882.847270024227</v>
      </c>
      <c r="W89" s="10">
        <f t="shared" si="31"/>
        <v>73561.128618625415</v>
      </c>
      <c r="X89" s="10">
        <f t="shared" si="32"/>
        <v>26310.938371774297</v>
      </c>
      <c r="Y89" s="10">
        <f t="shared" si="33"/>
        <v>922298.88756392966</v>
      </c>
      <c r="Z89" s="10">
        <f t="shared" si="34"/>
        <v>101700.92547058617</v>
      </c>
      <c r="AA89" s="10">
        <f t="shared" si="35"/>
        <v>107153.62350983117</v>
      </c>
      <c r="AB89" s="10">
        <f t="shared" si="36"/>
        <v>143672.28524429278</v>
      </c>
      <c r="AC89" s="10">
        <f t="shared" si="37"/>
        <v>116388.7292026739</v>
      </c>
      <c r="AD89" s="10">
        <f t="shared" si="38"/>
        <v>119901.98384503504</v>
      </c>
      <c r="AE89" s="10">
        <f t="shared" si="39"/>
        <v>169315.83881017403</v>
      </c>
      <c r="AF89" s="10">
        <f t="shared" si="40"/>
        <v>216234.49847501446</v>
      </c>
      <c r="AG89" s="10">
        <f t="shared" si="41"/>
        <v>44849.722773585927</v>
      </c>
      <c r="AH89" s="10">
        <f t="shared" si="42"/>
        <v>3440986.9999999986</v>
      </c>
      <c r="AJ89">
        <f t="shared" si="43"/>
        <v>1.7083462206495759</v>
      </c>
    </row>
    <row r="90" spans="1:36" x14ac:dyDescent="0.4">
      <c r="A90" s="1" t="s">
        <v>97</v>
      </c>
      <c r="B90" s="8">
        <v>12997.97</v>
      </c>
      <c r="C90" s="8">
        <v>2226.79</v>
      </c>
      <c r="D90" s="8">
        <v>461.61</v>
      </c>
      <c r="E90" s="8">
        <v>586.01</v>
      </c>
      <c r="F90" s="8">
        <v>6182.65</v>
      </c>
      <c r="G90" s="8">
        <v>9343.82</v>
      </c>
      <c r="H90" s="8">
        <v>987.27</v>
      </c>
      <c r="I90" s="8">
        <v>17891.89</v>
      </c>
      <c r="J90" s="8">
        <v>7421.18</v>
      </c>
      <c r="K90" s="8">
        <v>2169.96</v>
      </c>
      <c r="L90" s="7" t="s">
        <v>97</v>
      </c>
      <c r="M90" s="8">
        <f t="shared" si="22"/>
        <v>16272.38</v>
      </c>
      <c r="N90" s="8">
        <f t="shared" si="23"/>
        <v>16513.739999999998</v>
      </c>
      <c r="O90" s="8">
        <f t="shared" si="24"/>
        <v>27483.03</v>
      </c>
      <c r="P90" s="8"/>
      <c r="Q90" s="10">
        <f t="shared" si="25"/>
        <v>500733.9137983793</v>
      </c>
      <c r="R90" s="10">
        <f t="shared" si="26"/>
        <v>174751.30126652759</v>
      </c>
      <c r="S90" s="10">
        <f t="shared" si="27"/>
        <v>126639.66430091982</v>
      </c>
      <c r="T90" s="10">
        <f t="shared" si="28"/>
        <v>163193.55343048816</v>
      </c>
      <c r="U90" s="10">
        <f t="shared" si="29"/>
        <v>75155.467995690851</v>
      </c>
      <c r="V90" s="10">
        <f t="shared" si="30"/>
        <v>77379.955170057146</v>
      </c>
      <c r="W90" s="10">
        <f t="shared" si="31"/>
        <v>58752.98874013593</v>
      </c>
      <c r="X90" s="10">
        <f t="shared" si="32"/>
        <v>21014.444652061291</v>
      </c>
      <c r="Y90" s="10">
        <f t="shared" si="33"/>
        <v>736636.5521254834</v>
      </c>
      <c r="Z90" s="10">
        <f t="shared" si="34"/>
        <v>81228.135582490839</v>
      </c>
      <c r="AA90" s="10">
        <f t="shared" si="35"/>
        <v>85583.184404050233</v>
      </c>
      <c r="AB90" s="10">
        <f t="shared" si="36"/>
        <v>114750.49820116893</v>
      </c>
      <c r="AC90" s="10">
        <f t="shared" si="37"/>
        <v>92959.227580312378</v>
      </c>
      <c r="AD90" s="10">
        <f t="shared" si="38"/>
        <v>95765.250466584548</v>
      </c>
      <c r="AE90" s="10">
        <f t="shared" si="39"/>
        <v>135231.90519159698</v>
      </c>
      <c r="AF90" s="10">
        <f t="shared" si="40"/>
        <v>172705.65708687005</v>
      </c>
      <c r="AG90" s="10">
        <f t="shared" si="41"/>
        <v>35821.300007182392</v>
      </c>
      <c r="AH90" s="10">
        <f t="shared" si="42"/>
        <v>2748303</v>
      </c>
      <c r="AJ90">
        <f t="shared" si="43"/>
        <v>1.7781822388339505</v>
      </c>
    </row>
    <row r="91" spans="1:36" x14ac:dyDescent="0.4">
      <c r="A91" s="1" t="s">
        <v>98</v>
      </c>
      <c r="B91" s="8">
        <v>12197.41</v>
      </c>
      <c r="C91" s="8">
        <v>1607.77</v>
      </c>
      <c r="D91" s="8">
        <v>599.85</v>
      </c>
      <c r="E91" s="8">
        <v>621.1</v>
      </c>
      <c r="F91" s="8">
        <v>3858.3</v>
      </c>
      <c r="G91" s="8">
        <v>9995.0400000000009</v>
      </c>
      <c r="H91" s="8">
        <v>964.54</v>
      </c>
      <c r="I91" s="8">
        <v>15743.95</v>
      </c>
      <c r="J91" s="8">
        <v>7206.32</v>
      </c>
      <c r="K91" s="8">
        <v>2040.03</v>
      </c>
      <c r="L91" s="7" t="s">
        <v>98</v>
      </c>
      <c r="M91" s="8">
        <f t="shared" si="22"/>
        <v>15026.130000000001</v>
      </c>
      <c r="N91" s="8">
        <f t="shared" si="23"/>
        <v>14817.880000000001</v>
      </c>
      <c r="O91" s="8">
        <f t="shared" si="24"/>
        <v>24990.3</v>
      </c>
      <c r="P91" s="8"/>
      <c r="Q91" s="10">
        <f t="shared" si="25"/>
        <v>455316.99838029646</v>
      </c>
      <c r="R91" s="10">
        <f t="shared" si="26"/>
        <v>158901.23629166451</v>
      </c>
      <c r="S91" s="10">
        <f t="shared" si="27"/>
        <v>115153.35837348635</v>
      </c>
      <c r="T91" s="10">
        <f t="shared" si="28"/>
        <v>148391.78424991452</v>
      </c>
      <c r="U91" s="10">
        <f t="shared" si="29"/>
        <v>68338.814601327176</v>
      </c>
      <c r="V91" s="10">
        <f t="shared" si="30"/>
        <v>70361.539236622717</v>
      </c>
      <c r="W91" s="10">
        <f t="shared" si="31"/>
        <v>53424.051660701858</v>
      </c>
      <c r="X91" s="10">
        <f t="shared" si="32"/>
        <v>19108.419857213968</v>
      </c>
      <c r="Y91" s="10">
        <f t="shared" si="33"/>
        <v>669823.10278675496</v>
      </c>
      <c r="Z91" s="10">
        <f t="shared" si="34"/>
        <v>73860.687000200516</v>
      </c>
      <c r="AA91" s="10">
        <f t="shared" si="35"/>
        <v>77820.729854478792</v>
      </c>
      <c r="AB91" s="10">
        <f t="shared" si="36"/>
        <v>104342.54793582337</v>
      </c>
      <c r="AC91" s="10">
        <f t="shared" si="37"/>
        <v>84527.760767290951</v>
      </c>
      <c r="AD91" s="10">
        <f t="shared" si="38"/>
        <v>87079.275419598489</v>
      </c>
      <c r="AE91" s="10">
        <f t="shared" si="39"/>
        <v>122966.27701929395</v>
      </c>
      <c r="AF91" s="10">
        <f t="shared" si="40"/>
        <v>157041.1334666523</v>
      </c>
      <c r="AG91" s="10">
        <f t="shared" si="41"/>
        <v>32572.283098679083</v>
      </c>
      <c r="AH91" s="10">
        <f t="shared" si="42"/>
        <v>2499030</v>
      </c>
      <c r="AJ91">
        <f t="shared" si="43"/>
        <v>1.6686619388855042</v>
      </c>
    </row>
    <row r="92" spans="1:36" x14ac:dyDescent="0.4">
      <c r="A92" s="1" t="s">
        <v>99</v>
      </c>
      <c r="B92" s="8">
        <v>13043.59</v>
      </c>
      <c r="C92" s="8">
        <v>1667.99</v>
      </c>
      <c r="D92" s="8">
        <v>625.09</v>
      </c>
      <c r="E92" s="8">
        <v>638.64</v>
      </c>
      <c r="F92" s="8">
        <v>2993.43</v>
      </c>
      <c r="G92" s="8">
        <v>11614.24</v>
      </c>
      <c r="H92" s="8">
        <v>1020.09</v>
      </c>
      <c r="I92" s="8">
        <v>13866</v>
      </c>
      <c r="J92" s="8">
        <v>7156.91</v>
      </c>
      <c r="K92" s="8">
        <v>2194.25</v>
      </c>
      <c r="L92" s="7" t="s">
        <v>99</v>
      </c>
      <c r="M92" s="8">
        <f t="shared" si="22"/>
        <v>15975.31</v>
      </c>
      <c r="N92" s="8">
        <f t="shared" si="23"/>
        <v>15627.76</v>
      </c>
      <c r="O92" s="8">
        <f t="shared" si="24"/>
        <v>23217.16</v>
      </c>
      <c r="P92" s="8"/>
      <c r="Q92" s="10">
        <f t="shared" si="25"/>
        <v>423010.83228753088</v>
      </c>
      <c r="R92" s="10">
        <f t="shared" si="26"/>
        <v>147626.69624539849</v>
      </c>
      <c r="S92" s="10">
        <f t="shared" si="27"/>
        <v>106982.86718825194</v>
      </c>
      <c r="T92" s="10">
        <f t="shared" si="28"/>
        <v>137862.92271864467</v>
      </c>
      <c r="U92" s="10">
        <f t="shared" si="29"/>
        <v>63489.96181755919</v>
      </c>
      <c r="V92" s="10">
        <f t="shared" si="30"/>
        <v>65369.167809227874</v>
      </c>
      <c r="W92" s="10">
        <f t="shared" si="31"/>
        <v>49633.447988010579</v>
      </c>
      <c r="X92" s="10">
        <f t="shared" si="32"/>
        <v>17752.617662537621</v>
      </c>
      <c r="Y92" s="10">
        <f t="shared" si="33"/>
        <v>622297.05722206354</v>
      </c>
      <c r="Z92" s="10">
        <f t="shared" si="34"/>
        <v>68620.040087296889</v>
      </c>
      <c r="AA92" s="10">
        <f t="shared" si="35"/>
        <v>72299.105506865104</v>
      </c>
      <c r="AB92" s="10">
        <f t="shared" si="36"/>
        <v>96939.117586970984</v>
      </c>
      <c r="AC92" s="10">
        <f t="shared" si="37"/>
        <v>78530.251584651516</v>
      </c>
      <c r="AD92" s="10">
        <f t="shared" si="38"/>
        <v>80900.728286610611</v>
      </c>
      <c r="AE92" s="10">
        <f t="shared" si="39"/>
        <v>114241.43480315447</v>
      </c>
      <c r="AF92" s="10">
        <f t="shared" si="40"/>
        <v>145898.57353759743</v>
      </c>
      <c r="AG92" s="10">
        <f t="shared" si="41"/>
        <v>30261.177667628162</v>
      </c>
      <c r="AH92" s="10">
        <f t="shared" si="42"/>
        <v>2321715.9999999995</v>
      </c>
      <c r="AJ92">
        <f t="shared" si="43"/>
        <v>1.7844232652200402</v>
      </c>
    </row>
    <row r="93" spans="1:36" x14ac:dyDescent="0.4">
      <c r="A93" s="1" t="s">
        <v>100</v>
      </c>
      <c r="B93" s="8">
        <v>13761.04</v>
      </c>
      <c r="C93" s="8">
        <v>2077.46</v>
      </c>
      <c r="D93" s="8">
        <v>603.45000000000005</v>
      </c>
      <c r="E93" s="8">
        <v>684.26</v>
      </c>
      <c r="F93" s="8">
        <v>2785.62</v>
      </c>
      <c r="G93" s="8">
        <v>12006.89</v>
      </c>
      <c r="H93" s="8">
        <v>818.09</v>
      </c>
      <c r="I93" s="8">
        <v>12228.17</v>
      </c>
      <c r="J93" s="8">
        <v>7015.59</v>
      </c>
      <c r="K93" s="8">
        <v>3545.77</v>
      </c>
      <c r="L93" s="7" t="s">
        <v>100</v>
      </c>
      <c r="M93" s="8">
        <f t="shared" si="22"/>
        <v>17126.21</v>
      </c>
      <c r="N93" s="8">
        <f t="shared" si="23"/>
        <v>15610.599999999999</v>
      </c>
      <c r="O93" s="8">
        <f t="shared" si="24"/>
        <v>22789.530000000002</v>
      </c>
      <c r="P93" s="8"/>
      <c r="Q93" s="10">
        <f t="shared" si="25"/>
        <v>415219.52093803271</v>
      </c>
      <c r="R93" s="10">
        <f t="shared" si="26"/>
        <v>144907.60381051758</v>
      </c>
      <c r="S93" s="10">
        <f t="shared" si="27"/>
        <v>105012.38141412142</v>
      </c>
      <c r="T93" s="10">
        <f t="shared" si="28"/>
        <v>135323.66633921783</v>
      </c>
      <c r="U93" s="10">
        <f t="shared" si="29"/>
        <v>62320.558997746484</v>
      </c>
      <c r="V93" s="10">
        <f t="shared" si="30"/>
        <v>64165.152450318346</v>
      </c>
      <c r="W93" s="10">
        <f t="shared" si="31"/>
        <v>48719.264196232733</v>
      </c>
      <c r="X93" s="10">
        <f t="shared" si="32"/>
        <v>17425.637450873881</v>
      </c>
      <c r="Y93" s="10">
        <f t="shared" si="33"/>
        <v>610835.15186499711</v>
      </c>
      <c r="Z93" s="10">
        <f t="shared" si="34"/>
        <v>67356.147873842245</v>
      </c>
      <c r="AA93" s="10">
        <f t="shared" si="35"/>
        <v>70967.449676095945</v>
      </c>
      <c r="AB93" s="10">
        <f t="shared" si="36"/>
        <v>95153.624664765332</v>
      </c>
      <c r="AC93" s="10">
        <f t="shared" si="37"/>
        <v>77083.826118093843</v>
      </c>
      <c r="AD93" s="10">
        <f t="shared" si="38"/>
        <v>79410.64171111201</v>
      </c>
      <c r="AE93" s="10">
        <f t="shared" si="39"/>
        <v>112137.25561996097</v>
      </c>
      <c r="AF93" s="10">
        <f t="shared" si="40"/>
        <v>143211.31088351388</v>
      </c>
      <c r="AG93" s="10">
        <f t="shared" si="41"/>
        <v>29703.805990557939</v>
      </c>
      <c r="AH93" s="10">
        <f t="shared" si="42"/>
        <v>2278953.0000000009</v>
      </c>
      <c r="AJ93">
        <f t="shared" si="43"/>
        <v>1.8825737338894879</v>
      </c>
    </row>
    <row r="94" spans="1:36" x14ac:dyDescent="0.4">
      <c r="A94" s="1" t="s">
        <v>101</v>
      </c>
      <c r="B94" s="8">
        <v>11164.26</v>
      </c>
      <c r="C94" s="8">
        <v>1801.24</v>
      </c>
      <c r="D94" s="8">
        <v>507.15</v>
      </c>
      <c r="E94" s="8">
        <v>526.88</v>
      </c>
      <c r="F94" s="8">
        <v>2602.44</v>
      </c>
      <c r="G94" s="8">
        <v>8566.5300000000007</v>
      </c>
      <c r="H94" s="8">
        <v>665.51</v>
      </c>
      <c r="I94" s="8">
        <v>8397.1299999999992</v>
      </c>
      <c r="J94" s="8">
        <v>5248.45</v>
      </c>
      <c r="K94" s="8">
        <v>1995.45</v>
      </c>
      <c r="L94" s="7" t="s">
        <v>101</v>
      </c>
      <c r="M94" s="8">
        <f t="shared" si="22"/>
        <v>13999.529999999999</v>
      </c>
      <c r="N94" s="8">
        <f t="shared" si="23"/>
        <v>11834.480000000001</v>
      </c>
      <c r="O94" s="8">
        <f t="shared" si="24"/>
        <v>15641.029999999999</v>
      </c>
      <c r="P94" s="8"/>
      <c r="Q94" s="10">
        <f t="shared" si="25"/>
        <v>284975.64379683987</v>
      </c>
      <c r="R94" s="10">
        <f t="shared" si="26"/>
        <v>99453.748209305733</v>
      </c>
      <c r="S94" s="10">
        <f t="shared" si="27"/>
        <v>72072.649504825909</v>
      </c>
      <c r="T94" s="10">
        <f t="shared" si="28"/>
        <v>92876.049875609358</v>
      </c>
      <c r="U94" s="10">
        <f t="shared" si="29"/>
        <v>42772.173577099769</v>
      </c>
      <c r="V94" s="10">
        <f t="shared" si="30"/>
        <v>44038.164649731807</v>
      </c>
      <c r="W94" s="10">
        <f t="shared" si="31"/>
        <v>33437.261447305056</v>
      </c>
      <c r="X94" s="10">
        <f t="shared" si="32"/>
        <v>11959.655075740564</v>
      </c>
      <c r="Y94" s="10">
        <f t="shared" si="33"/>
        <v>419231.59167279775</v>
      </c>
      <c r="Z94" s="10">
        <f t="shared" si="34"/>
        <v>46228.225399084695</v>
      </c>
      <c r="AA94" s="10">
        <f t="shared" si="35"/>
        <v>48706.753031208049</v>
      </c>
      <c r="AB94" s="10">
        <f t="shared" si="36"/>
        <v>65306.335759900896</v>
      </c>
      <c r="AC94" s="10">
        <f t="shared" si="37"/>
        <v>52904.576655503166</v>
      </c>
      <c r="AD94" s="10">
        <f t="shared" si="38"/>
        <v>54501.528961885313</v>
      </c>
      <c r="AE94" s="10">
        <f t="shared" si="39"/>
        <v>76962.630614561946</v>
      </c>
      <c r="AF94" s="10">
        <f t="shared" si="40"/>
        <v>98289.539532775219</v>
      </c>
      <c r="AG94" s="10">
        <f t="shared" si="41"/>
        <v>20386.4722358248</v>
      </c>
      <c r="AH94" s="10">
        <f t="shared" si="42"/>
        <v>1564103</v>
      </c>
      <c r="AJ94">
        <f t="shared" si="43"/>
        <v>1.5273222543000424</v>
      </c>
    </row>
    <row r="95" spans="1:36" x14ac:dyDescent="0.4">
      <c r="A95" s="1" t="s">
        <v>102</v>
      </c>
      <c r="B95" s="8">
        <v>10221.81</v>
      </c>
      <c r="C95" s="8">
        <v>1389.85</v>
      </c>
      <c r="D95" s="8">
        <v>486.79</v>
      </c>
      <c r="E95" s="8">
        <v>482</v>
      </c>
      <c r="F95" s="8">
        <v>1960.75</v>
      </c>
      <c r="G95" s="8">
        <v>6386.83</v>
      </c>
      <c r="H95" s="8">
        <v>684.84</v>
      </c>
      <c r="I95" s="8">
        <v>8200.9699999999993</v>
      </c>
      <c r="J95" s="8">
        <v>5254.67</v>
      </c>
      <c r="K95" s="8">
        <v>1722.23</v>
      </c>
      <c r="L95" s="7" t="s">
        <v>102</v>
      </c>
      <c r="M95" s="8">
        <f t="shared" si="22"/>
        <v>12580.45</v>
      </c>
      <c r="N95" s="8">
        <f t="shared" si="23"/>
        <v>9032.42</v>
      </c>
      <c r="O95" s="8">
        <f t="shared" si="24"/>
        <v>15177.869999999999</v>
      </c>
      <c r="P95" s="8"/>
      <c r="Q95" s="10">
        <f t="shared" si="25"/>
        <v>276536.98475834023</v>
      </c>
      <c r="R95" s="10">
        <f t="shared" si="26"/>
        <v>96508.737681186933</v>
      </c>
      <c r="S95" s="10">
        <f t="shared" si="27"/>
        <v>69938.444254618284</v>
      </c>
      <c r="T95" s="10">
        <f t="shared" si="28"/>
        <v>90125.817233616646</v>
      </c>
      <c r="U95" s="10">
        <f t="shared" si="29"/>
        <v>41505.609935576831</v>
      </c>
      <c r="V95" s="10">
        <f t="shared" si="30"/>
        <v>42734.112657045283</v>
      </c>
      <c r="W95" s="10">
        <f t="shared" si="31"/>
        <v>32447.121922482598</v>
      </c>
      <c r="X95" s="10">
        <f t="shared" si="32"/>
        <v>11605.50743681397</v>
      </c>
      <c r="Y95" s="10">
        <f t="shared" si="33"/>
        <v>406817.36422107794</v>
      </c>
      <c r="Z95" s="10">
        <f t="shared" si="34"/>
        <v>44859.321632782856</v>
      </c>
      <c r="AA95" s="10">
        <f t="shared" si="35"/>
        <v>47264.455450170586</v>
      </c>
      <c r="AB95" s="10">
        <f t="shared" si="36"/>
        <v>63372.493649083663</v>
      </c>
      <c r="AC95" s="10">
        <f t="shared" si="37"/>
        <v>51337.97370647981</v>
      </c>
      <c r="AD95" s="10">
        <f t="shared" si="38"/>
        <v>52887.637283780561</v>
      </c>
      <c r="AE95" s="10">
        <f t="shared" si="39"/>
        <v>74683.623925396299</v>
      </c>
      <c r="AF95" s="10">
        <f t="shared" si="40"/>
        <v>95379.003389695106</v>
      </c>
      <c r="AG95" s="10">
        <f t="shared" si="41"/>
        <v>19782.790861852329</v>
      </c>
      <c r="AH95" s="10">
        <f t="shared" si="42"/>
        <v>1517787</v>
      </c>
      <c r="AJ95">
        <f t="shared" si="43"/>
        <v>1.3983907479964381</v>
      </c>
    </row>
    <row r="96" spans="1:36" x14ac:dyDescent="0.4">
      <c r="A96" s="1" t="s">
        <v>103</v>
      </c>
      <c r="B96" s="8">
        <v>72841.67</v>
      </c>
      <c r="C96" s="8">
        <v>1470.74</v>
      </c>
      <c r="D96" s="8">
        <v>515.88</v>
      </c>
      <c r="E96" s="8">
        <v>446.99</v>
      </c>
      <c r="F96" s="8">
        <v>1784.09</v>
      </c>
      <c r="G96" s="8">
        <v>5583.55</v>
      </c>
      <c r="H96" s="8">
        <v>654.32000000000005</v>
      </c>
      <c r="I96" s="8">
        <v>7325.31</v>
      </c>
      <c r="J96" s="8">
        <v>5210.28</v>
      </c>
      <c r="K96" s="8">
        <v>2120.23</v>
      </c>
      <c r="L96" s="7" t="s">
        <v>103</v>
      </c>
      <c r="M96" s="8">
        <f t="shared" si="22"/>
        <v>75275.280000000013</v>
      </c>
      <c r="N96" s="8">
        <f t="shared" si="23"/>
        <v>8021.96</v>
      </c>
      <c r="O96" s="8">
        <f t="shared" si="24"/>
        <v>14655.82</v>
      </c>
      <c r="P96" s="8"/>
      <c r="Q96" s="10">
        <f t="shared" si="25"/>
        <v>267025.36468957621</v>
      </c>
      <c r="R96" s="10">
        <f t="shared" si="26"/>
        <v>93189.27411307997</v>
      </c>
      <c r="S96" s="10">
        <f t="shared" si="27"/>
        <v>67532.878465536982</v>
      </c>
      <c r="T96" s="10">
        <f t="shared" si="28"/>
        <v>87025.897225946959</v>
      </c>
      <c r="U96" s="10">
        <f t="shared" si="29"/>
        <v>40078.004898317464</v>
      </c>
      <c r="V96" s="10">
        <f t="shared" si="30"/>
        <v>41264.252689038542</v>
      </c>
      <c r="W96" s="10">
        <f t="shared" si="31"/>
        <v>31331.087854485439</v>
      </c>
      <c r="X96" s="10">
        <f t="shared" si="32"/>
        <v>11206.33053271684</v>
      </c>
      <c r="Y96" s="10">
        <f t="shared" si="33"/>
        <v>392824.68903071107</v>
      </c>
      <c r="Z96" s="10">
        <f t="shared" si="34"/>
        <v>43316.364099321683</v>
      </c>
      <c r="AA96" s="10">
        <f t="shared" si="35"/>
        <v>45638.772204249944</v>
      </c>
      <c r="AB96" s="10">
        <f t="shared" si="36"/>
        <v>61192.766829081644</v>
      </c>
      <c r="AC96" s="10">
        <f t="shared" si="37"/>
        <v>49572.179878131843</v>
      </c>
      <c r="AD96" s="10">
        <f t="shared" si="38"/>
        <v>51068.542045516057</v>
      </c>
      <c r="AE96" s="10">
        <f t="shared" si="39"/>
        <v>72114.845442628095</v>
      </c>
      <c r="AF96" s="10">
        <f t="shared" si="40"/>
        <v>92098.397565584732</v>
      </c>
      <c r="AG96" s="10">
        <f t="shared" si="41"/>
        <v>19102.352436076511</v>
      </c>
      <c r="AH96" s="10">
        <f t="shared" si="42"/>
        <v>1465581.9999999998</v>
      </c>
      <c r="AJ96">
        <f t="shared" si="43"/>
        <v>9.9650763804658578</v>
      </c>
    </row>
    <row r="97" spans="1:36" x14ac:dyDescent="0.4">
      <c r="A97" s="1" t="s">
        <v>104</v>
      </c>
      <c r="B97" s="8">
        <v>39830.49</v>
      </c>
      <c r="C97" s="8">
        <v>1760.36</v>
      </c>
      <c r="D97" s="8">
        <v>508.12</v>
      </c>
      <c r="E97" s="8">
        <v>518.79999999999995</v>
      </c>
      <c r="F97" s="8">
        <v>1668.75</v>
      </c>
      <c r="G97" s="8">
        <v>5060.57</v>
      </c>
      <c r="H97" s="8">
        <v>610.55999999999995</v>
      </c>
      <c r="I97" s="8">
        <v>7083.17</v>
      </c>
      <c r="J97" s="8">
        <v>5124.17</v>
      </c>
      <c r="K97" s="8">
        <v>1866.13</v>
      </c>
      <c r="L97" s="7" t="s">
        <v>104</v>
      </c>
      <c r="M97" s="8">
        <f t="shared" si="22"/>
        <v>42617.770000000004</v>
      </c>
      <c r="N97" s="8">
        <f t="shared" si="23"/>
        <v>7339.8799999999992</v>
      </c>
      <c r="O97" s="8">
        <f t="shared" si="24"/>
        <v>14073.470000000001</v>
      </c>
      <c r="P97" s="8"/>
      <c r="Q97" s="10">
        <f t="shared" si="25"/>
        <v>256415.0937441788</v>
      </c>
      <c r="R97" s="10">
        <f t="shared" si="26"/>
        <v>89486.39199664077</v>
      </c>
      <c r="S97" s="10">
        <f t="shared" si="27"/>
        <v>64849.454967267666</v>
      </c>
      <c r="T97" s="10">
        <f t="shared" si="28"/>
        <v>83567.91730742107</v>
      </c>
      <c r="U97" s="10">
        <f t="shared" si="29"/>
        <v>38485.502660125734</v>
      </c>
      <c r="V97" s="10">
        <f t="shared" si="30"/>
        <v>39624.614814565357</v>
      </c>
      <c r="W97" s="10">
        <f t="shared" si="31"/>
        <v>30086.144957256929</v>
      </c>
      <c r="X97" s="10">
        <f t="shared" si="32"/>
        <v>10761.046230253543</v>
      </c>
      <c r="Y97" s="10">
        <f t="shared" si="33"/>
        <v>377215.77341513761</v>
      </c>
      <c r="Z97" s="10">
        <f t="shared" si="34"/>
        <v>41595.185439018824</v>
      </c>
      <c r="AA97" s="10">
        <f t="shared" si="35"/>
        <v>43825.312500654727</v>
      </c>
      <c r="AB97" s="10">
        <f t="shared" si="36"/>
        <v>58761.268095956126</v>
      </c>
      <c r="AC97" s="10">
        <f t="shared" si="37"/>
        <v>47602.425954296123</v>
      </c>
      <c r="AD97" s="10">
        <f t="shared" si="38"/>
        <v>49039.330069645301</v>
      </c>
      <c r="AE97" s="10">
        <f t="shared" si="39"/>
        <v>69249.357176293328</v>
      </c>
      <c r="AF97" s="10">
        <f t="shared" si="40"/>
        <v>88438.861502620115</v>
      </c>
      <c r="AG97" s="10">
        <f t="shared" si="41"/>
        <v>18343.319168668131</v>
      </c>
      <c r="AH97" s="10">
        <f t="shared" si="42"/>
        <v>1407347.0000000005</v>
      </c>
      <c r="AJ97">
        <f t="shared" si="43"/>
        <v>5.4489947185639975</v>
      </c>
    </row>
    <row r="98" spans="1:36" x14ac:dyDescent="0.4">
      <c r="A98" s="1" t="s">
        <v>105</v>
      </c>
      <c r="B98" s="8">
        <v>18641.77</v>
      </c>
      <c r="C98" s="8">
        <v>2097.8200000000002</v>
      </c>
      <c r="D98" s="8">
        <v>382.06</v>
      </c>
      <c r="E98" s="8">
        <v>435.33</v>
      </c>
      <c r="F98" s="8">
        <v>1503.98</v>
      </c>
      <c r="G98" s="8">
        <v>4032.52</v>
      </c>
      <c r="H98" s="8">
        <v>564.77</v>
      </c>
      <c r="I98" s="8">
        <v>7323.43</v>
      </c>
      <c r="J98" s="8">
        <v>4742.43</v>
      </c>
      <c r="K98" s="8">
        <v>1775.96</v>
      </c>
      <c r="L98" s="7" t="s">
        <v>105</v>
      </c>
      <c r="M98" s="8">
        <f t="shared" si="22"/>
        <v>21556.980000000003</v>
      </c>
      <c r="N98" s="8">
        <f t="shared" si="23"/>
        <v>6101.27</v>
      </c>
      <c r="O98" s="8">
        <f t="shared" si="24"/>
        <v>13841.82</v>
      </c>
      <c r="P98" s="8"/>
      <c r="Q98" s="10">
        <f t="shared" si="25"/>
        <v>252194.48884248509</v>
      </c>
      <c r="R98" s="10">
        <f t="shared" si="26"/>
        <v>88013.441636422431</v>
      </c>
      <c r="S98" s="10">
        <f t="shared" si="27"/>
        <v>63782.029787609223</v>
      </c>
      <c r="T98" s="10">
        <f t="shared" si="28"/>
        <v>82192.385328153396</v>
      </c>
      <c r="U98" s="10">
        <f t="shared" si="29"/>
        <v>37852.029416411271</v>
      </c>
      <c r="V98" s="10">
        <f t="shared" si="30"/>
        <v>38972.391729441784</v>
      </c>
      <c r="W98" s="10">
        <f t="shared" si="31"/>
        <v>29590.925549438627</v>
      </c>
      <c r="X98" s="10">
        <f t="shared" si="32"/>
        <v>10583.9188864472</v>
      </c>
      <c r="Y98" s="10">
        <f t="shared" si="33"/>
        <v>371006.78345661156</v>
      </c>
      <c r="Z98" s="10">
        <f t="shared" si="34"/>
        <v>40910.526665670899</v>
      </c>
      <c r="AA98" s="10">
        <f t="shared" si="35"/>
        <v>43103.945727515144</v>
      </c>
      <c r="AB98" s="10">
        <f t="shared" si="36"/>
        <v>57794.054768011534</v>
      </c>
      <c r="AC98" s="10">
        <f t="shared" si="37"/>
        <v>46818.887710187686</v>
      </c>
      <c r="AD98" s="10">
        <f t="shared" si="38"/>
        <v>48232.140313982098</v>
      </c>
      <c r="AE98" s="10">
        <f t="shared" si="39"/>
        <v>68109.509392492429</v>
      </c>
      <c r="AF98" s="10">
        <f t="shared" si="40"/>
        <v>86983.153545230627</v>
      </c>
      <c r="AG98" s="10">
        <f t="shared" si="41"/>
        <v>18041.387243888952</v>
      </c>
      <c r="AH98" s="10">
        <f t="shared" si="42"/>
        <v>1384181.9999999998</v>
      </c>
      <c r="AJ98">
        <f t="shared" si="43"/>
        <v>2.5502801063879645</v>
      </c>
    </row>
    <row r="99" spans="1:36" x14ac:dyDescent="0.4">
      <c r="A99" s="1" t="s">
        <v>106</v>
      </c>
      <c r="B99" s="8">
        <v>19060.400000000001</v>
      </c>
      <c r="C99" s="8">
        <v>1761.74</v>
      </c>
      <c r="D99" s="8">
        <v>469.92</v>
      </c>
      <c r="E99" s="8">
        <v>542</v>
      </c>
      <c r="F99" s="8">
        <v>1842.96</v>
      </c>
      <c r="G99" s="8">
        <v>4702.46</v>
      </c>
      <c r="H99" s="8">
        <v>725.25</v>
      </c>
      <c r="I99" s="8">
        <v>9405.3799999999992</v>
      </c>
      <c r="J99" s="8">
        <v>6422.31</v>
      </c>
      <c r="K99" s="8">
        <v>2116.4299999999998</v>
      </c>
      <c r="L99" s="7" t="s">
        <v>106</v>
      </c>
      <c r="M99" s="8">
        <f t="shared" si="22"/>
        <v>21834.06</v>
      </c>
      <c r="N99" s="8">
        <f t="shared" si="23"/>
        <v>7270.67</v>
      </c>
      <c r="O99" s="8">
        <f t="shared" si="24"/>
        <v>17944.12</v>
      </c>
      <c r="P99" s="8"/>
      <c r="Q99" s="10">
        <f t="shared" si="25"/>
        <v>326937.36597703287</v>
      </c>
      <c r="R99" s="10">
        <f t="shared" si="26"/>
        <v>114097.98410447185</v>
      </c>
      <c r="S99" s="10">
        <f t="shared" si="27"/>
        <v>82685.109064590812</v>
      </c>
      <c r="T99" s="10">
        <f t="shared" si="28"/>
        <v>106551.7414194538</v>
      </c>
      <c r="U99" s="10">
        <f t="shared" si="29"/>
        <v>49070.23484567881</v>
      </c>
      <c r="V99" s="10">
        <f t="shared" si="30"/>
        <v>50522.638921768295</v>
      </c>
      <c r="W99" s="10">
        <f t="shared" si="31"/>
        <v>38360.787741076871</v>
      </c>
      <c r="X99" s="10">
        <f t="shared" si="32"/>
        <v>13720.674778943443</v>
      </c>
      <c r="Y99" s="10">
        <f t="shared" si="33"/>
        <v>480962.05868588469</v>
      </c>
      <c r="Z99" s="10">
        <f t="shared" si="34"/>
        <v>53035.178881967724</v>
      </c>
      <c r="AA99" s="10">
        <f t="shared" si="35"/>
        <v>55878.661520523965</v>
      </c>
      <c r="AB99" s="10">
        <f t="shared" si="36"/>
        <v>74922.477972099849</v>
      </c>
      <c r="AC99" s="10">
        <f t="shared" si="37"/>
        <v>60694.600806695438</v>
      </c>
      <c r="AD99" s="10">
        <f t="shared" si="38"/>
        <v>62526.699064930217</v>
      </c>
      <c r="AE99" s="10">
        <f t="shared" si="39"/>
        <v>88295.123739509043</v>
      </c>
      <c r="AF99" s="10">
        <f t="shared" si="40"/>
        <v>112762.34954608887</v>
      </c>
      <c r="AG99" s="10">
        <f t="shared" si="41"/>
        <v>23388.312929283333</v>
      </c>
      <c r="AH99" s="10">
        <f t="shared" si="42"/>
        <v>1794411.9999999998</v>
      </c>
      <c r="AJ99">
        <f t="shared" si="43"/>
        <v>2.6075506209870181</v>
      </c>
    </row>
    <row r="100" spans="1:36" x14ac:dyDescent="0.4">
      <c r="A100" s="1" t="s">
        <v>107</v>
      </c>
      <c r="B100" s="8">
        <v>16545.990000000002</v>
      </c>
      <c r="C100" s="8">
        <v>1709.44</v>
      </c>
      <c r="D100" s="8">
        <v>526.27</v>
      </c>
      <c r="E100" s="8">
        <v>599.78</v>
      </c>
      <c r="F100" s="8">
        <v>1814.72</v>
      </c>
      <c r="G100" s="8">
        <v>4515.26</v>
      </c>
      <c r="H100" s="8">
        <v>766.72</v>
      </c>
      <c r="I100" s="8">
        <v>13537.54</v>
      </c>
      <c r="J100" s="8">
        <v>7232.44</v>
      </c>
      <c r="K100" s="8">
        <v>6123.31</v>
      </c>
      <c r="L100" s="7" t="s">
        <v>107</v>
      </c>
      <c r="M100" s="8">
        <f t="shared" si="22"/>
        <v>19381.48</v>
      </c>
      <c r="N100" s="8">
        <f t="shared" si="23"/>
        <v>7096.7000000000007</v>
      </c>
      <c r="O100" s="8">
        <f t="shared" si="24"/>
        <v>26893.29</v>
      </c>
      <c r="P100" s="8"/>
      <c r="Q100" s="10">
        <f t="shared" si="25"/>
        <v>489988.99890640943</v>
      </c>
      <c r="R100" s="10">
        <f t="shared" si="26"/>
        <v>171001.42971273887</v>
      </c>
      <c r="S100" s="10">
        <f t="shared" si="27"/>
        <v>123922.1882575278</v>
      </c>
      <c r="T100" s="10">
        <f t="shared" si="28"/>
        <v>159691.69187446265</v>
      </c>
      <c r="U100" s="10">
        <f t="shared" si="29"/>
        <v>73542.756962890664</v>
      </c>
      <c r="V100" s="10">
        <f t="shared" si="30"/>
        <v>75719.510351491306</v>
      </c>
      <c r="W100" s="10">
        <f t="shared" si="31"/>
        <v>57492.247563504105</v>
      </c>
      <c r="X100" s="10">
        <f t="shared" si="32"/>
        <v>20563.509708239355</v>
      </c>
      <c r="Y100" s="10">
        <f t="shared" si="33"/>
        <v>720829.55994701979</v>
      </c>
      <c r="Z100" s="10">
        <f t="shared" si="34"/>
        <v>79485.11522853357</v>
      </c>
      <c r="AA100" s="10">
        <f t="shared" si="35"/>
        <v>83746.71196376819</v>
      </c>
      <c r="AB100" s="10">
        <f t="shared" si="36"/>
        <v>112288.14383888947</v>
      </c>
      <c r="AC100" s="10">
        <f t="shared" si="37"/>
        <v>90964.477551905278</v>
      </c>
      <c r="AD100" s="10">
        <f t="shared" si="38"/>
        <v>93710.287865657228</v>
      </c>
      <c r="AE100" s="10">
        <f t="shared" si="39"/>
        <v>132330.05398495449</v>
      </c>
      <c r="AF100" s="10">
        <f t="shared" si="40"/>
        <v>168999.68164637423</v>
      </c>
      <c r="AG100" s="10">
        <f t="shared" si="41"/>
        <v>35052.634635633636</v>
      </c>
      <c r="AH100" s="10">
        <f t="shared" si="42"/>
        <v>2689329.0000000005</v>
      </c>
      <c r="AJ100">
        <f t="shared" si="43"/>
        <v>2.2635677372639083</v>
      </c>
    </row>
    <row r="101" spans="1:36" x14ac:dyDescent="0.4">
      <c r="A101" s="1" t="s">
        <v>108</v>
      </c>
      <c r="B101" s="8">
        <v>12260.21</v>
      </c>
      <c r="C101" s="8">
        <v>1681.55</v>
      </c>
      <c r="D101" s="8">
        <v>539.79</v>
      </c>
      <c r="E101" s="8">
        <v>591.69000000000005</v>
      </c>
      <c r="F101" s="8">
        <v>1792.36</v>
      </c>
      <c r="G101" s="8">
        <v>3925.53</v>
      </c>
      <c r="H101" s="8">
        <v>713.93</v>
      </c>
      <c r="I101" s="8">
        <v>10069.16</v>
      </c>
      <c r="J101" s="8">
        <v>7829.79</v>
      </c>
      <c r="K101" s="8">
        <v>3570.37</v>
      </c>
      <c r="L101" s="7" t="s">
        <v>108</v>
      </c>
      <c r="M101" s="8">
        <f t="shared" si="22"/>
        <v>15073.24</v>
      </c>
      <c r="N101" s="8">
        <f t="shared" si="23"/>
        <v>6431.8200000000006</v>
      </c>
      <c r="O101" s="8">
        <f t="shared" si="24"/>
        <v>21469.32</v>
      </c>
      <c r="P101" s="8"/>
      <c r="Q101" s="10">
        <f t="shared" si="25"/>
        <v>391165.62584947224</v>
      </c>
      <c r="R101" s="10">
        <f t="shared" si="26"/>
        <v>136513.02666800152</v>
      </c>
      <c r="S101" s="10">
        <f t="shared" si="27"/>
        <v>98928.956434899053</v>
      </c>
      <c r="T101" s="10">
        <f t="shared" si="28"/>
        <v>127484.29196257648</v>
      </c>
      <c r="U101" s="10">
        <f t="shared" si="29"/>
        <v>58710.294758228818</v>
      </c>
      <c r="V101" s="10">
        <f t="shared" si="30"/>
        <v>60448.029898144829</v>
      </c>
      <c r="W101" s="10">
        <f t="shared" si="31"/>
        <v>45896.930441016695</v>
      </c>
      <c r="X101" s="10">
        <f t="shared" si="32"/>
        <v>16416.160694704788</v>
      </c>
      <c r="Y101" s="10">
        <f t="shared" si="33"/>
        <v>575449.13574954018</v>
      </c>
      <c r="Z101" s="10">
        <f t="shared" si="34"/>
        <v>63454.169202736462</v>
      </c>
      <c r="AA101" s="10">
        <f t="shared" si="35"/>
        <v>66856.266306501275</v>
      </c>
      <c r="AB101" s="10">
        <f t="shared" si="36"/>
        <v>89641.322883259971</v>
      </c>
      <c r="AC101" s="10">
        <f t="shared" si="37"/>
        <v>72618.317699123858</v>
      </c>
      <c r="AD101" s="10">
        <f t="shared" si="38"/>
        <v>74810.339585819063</v>
      </c>
      <c r="AE101" s="10">
        <f t="shared" si="39"/>
        <v>105641.0827615462</v>
      </c>
      <c r="AF101" s="10">
        <f t="shared" si="40"/>
        <v>134915.00092268869</v>
      </c>
      <c r="AG101" s="10">
        <f t="shared" si="41"/>
        <v>27983.048181739829</v>
      </c>
      <c r="AH101" s="10">
        <f t="shared" si="42"/>
        <v>2146932</v>
      </c>
      <c r="AJ101">
        <f t="shared" si="43"/>
        <v>1.6772532685007266</v>
      </c>
    </row>
    <row r="102" spans="1:36" x14ac:dyDescent="0.4">
      <c r="A102" s="1" t="s">
        <v>109</v>
      </c>
      <c r="B102" s="8">
        <v>10633.39</v>
      </c>
      <c r="C102" s="8">
        <v>1457.27</v>
      </c>
      <c r="D102" s="8">
        <v>524.02</v>
      </c>
      <c r="E102" s="8">
        <v>486.53</v>
      </c>
      <c r="F102" s="8">
        <v>1689.97</v>
      </c>
      <c r="G102" s="8">
        <v>3486.75</v>
      </c>
      <c r="H102" s="8">
        <v>744.1</v>
      </c>
      <c r="I102" s="8">
        <v>8107.92</v>
      </c>
      <c r="J102" s="8">
        <v>7355.46</v>
      </c>
      <c r="K102" s="8">
        <v>3489.9</v>
      </c>
      <c r="L102" s="7" t="s">
        <v>109</v>
      </c>
      <c r="M102" s="8">
        <f t="shared" si="22"/>
        <v>13101.210000000001</v>
      </c>
      <c r="N102" s="8">
        <f t="shared" si="23"/>
        <v>5920.8200000000006</v>
      </c>
      <c r="O102" s="8">
        <f t="shared" si="24"/>
        <v>18953.280000000002</v>
      </c>
      <c r="P102" s="8"/>
      <c r="Q102" s="10">
        <f t="shared" si="25"/>
        <v>345324.00807758636</v>
      </c>
      <c r="R102" s="10">
        <f t="shared" si="26"/>
        <v>120514.74467221599</v>
      </c>
      <c r="S102" s="10">
        <f t="shared" si="27"/>
        <v>87335.239840779483</v>
      </c>
      <c r="T102" s="10">
        <f t="shared" si="28"/>
        <v>112544.10857765695</v>
      </c>
      <c r="U102" s="10">
        <f t="shared" si="29"/>
        <v>51829.897520519669</v>
      </c>
      <c r="V102" s="10">
        <f t="shared" si="30"/>
        <v>53363.983400867401</v>
      </c>
      <c r="W102" s="10">
        <f t="shared" si="31"/>
        <v>40518.161441029013</v>
      </c>
      <c r="X102" s="10">
        <f t="shared" si="32"/>
        <v>14492.312293623383</v>
      </c>
      <c r="Y102" s="10">
        <f t="shared" si="33"/>
        <v>508010.90093300794</v>
      </c>
      <c r="Z102" s="10">
        <f t="shared" si="34"/>
        <v>56017.826184846148</v>
      </c>
      <c r="AA102" s="10">
        <f t="shared" si="35"/>
        <v>59021.223544186993</v>
      </c>
      <c r="AB102" s="10">
        <f t="shared" si="36"/>
        <v>79136.045863438325</v>
      </c>
      <c r="AC102" s="10">
        <f t="shared" si="37"/>
        <v>64108.006610384051</v>
      </c>
      <c r="AD102" s="10">
        <f t="shared" si="38"/>
        <v>66043.140307430003</v>
      </c>
      <c r="AE102" s="10">
        <f t="shared" si="39"/>
        <v>93260.756329625656</v>
      </c>
      <c r="AF102" s="10">
        <f t="shared" si="40"/>
        <v>119103.99531461536</v>
      </c>
      <c r="AG102" s="10">
        <f t="shared" si="41"/>
        <v>24703.649088187514</v>
      </c>
      <c r="AH102" s="10">
        <f t="shared" si="42"/>
        <v>1895328.0000000002</v>
      </c>
      <c r="AJ102">
        <f t="shared" si="43"/>
        <v>1.4546967900829546</v>
      </c>
    </row>
    <row r="103" spans="1:36" x14ac:dyDescent="0.4">
      <c r="A103" s="1" t="s">
        <v>110</v>
      </c>
      <c r="B103" s="8">
        <v>9602.82</v>
      </c>
      <c r="C103" s="8">
        <v>1242.22</v>
      </c>
      <c r="D103" s="8">
        <v>566.62</v>
      </c>
      <c r="E103" s="8">
        <v>475.88</v>
      </c>
      <c r="F103" s="8">
        <v>1740.49</v>
      </c>
      <c r="G103" s="8">
        <v>3220.28</v>
      </c>
      <c r="H103" s="8">
        <v>836.41</v>
      </c>
      <c r="I103" s="8">
        <v>7682.83</v>
      </c>
      <c r="J103" s="8">
        <v>7290.63</v>
      </c>
      <c r="K103" s="8">
        <v>2837.02</v>
      </c>
      <c r="L103" s="7" t="s">
        <v>110</v>
      </c>
      <c r="M103" s="8">
        <f t="shared" si="22"/>
        <v>11887.539999999999</v>
      </c>
      <c r="N103" s="8">
        <f t="shared" si="23"/>
        <v>5797.18</v>
      </c>
      <c r="O103" s="8">
        <f t="shared" si="24"/>
        <v>17810.48</v>
      </c>
      <c r="P103" s="8"/>
      <c r="Q103" s="10">
        <f t="shared" si="25"/>
        <v>324502.47869422543</v>
      </c>
      <c r="R103" s="10">
        <f t="shared" si="26"/>
        <v>113248.23195191594</v>
      </c>
      <c r="S103" s="10">
        <f t="shared" si="27"/>
        <v>82069.306340612602</v>
      </c>
      <c r="T103" s="10">
        <f t="shared" si="28"/>
        <v>105758.19039977182</v>
      </c>
      <c r="U103" s="10">
        <f t="shared" si="29"/>
        <v>48704.781082285757</v>
      </c>
      <c r="V103" s="10">
        <f t="shared" si="30"/>
        <v>50146.368284617791</v>
      </c>
      <c r="W103" s="10">
        <f t="shared" si="31"/>
        <v>38075.093281068941</v>
      </c>
      <c r="X103" s="10">
        <f t="shared" si="32"/>
        <v>13618.489161735244</v>
      </c>
      <c r="Y103" s="10">
        <f t="shared" si="33"/>
        <v>477380.06249310507</v>
      </c>
      <c r="Z103" s="10">
        <f t="shared" si="34"/>
        <v>52640.195940158032</v>
      </c>
      <c r="AA103" s="10">
        <f t="shared" si="35"/>
        <v>55462.501556947995</v>
      </c>
      <c r="AB103" s="10">
        <f t="shared" si="36"/>
        <v>74364.487947724658</v>
      </c>
      <c r="AC103" s="10">
        <f t="shared" si="37"/>
        <v>60242.573822267848</v>
      </c>
      <c r="AD103" s="10">
        <f t="shared" si="38"/>
        <v>62061.027409644965</v>
      </c>
      <c r="AE103" s="10">
        <f t="shared" si="39"/>
        <v>87637.540066609625</v>
      </c>
      <c r="AF103" s="10">
        <f t="shared" si="40"/>
        <v>111922.54461871771</v>
      </c>
      <c r="AG103" s="10">
        <f t="shared" si="41"/>
        <v>23214.126948590529</v>
      </c>
      <c r="AH103" s="10">
        <f t="shared" si="42"/>
        <v>1781048.0000000002</v>
      </c>
      <c r="AJ103">
        <f t="shared" si="43"/>
        <v>1.3137100613956976</v>
      </c>
    </row>
    <row r="104" spans="1:36" x14ac:dyDescent="0.4">
      <c r="A104" s="1" t="s">
        <v>111</v>
      </c>
      <c r="B104" s="8">
        <v>9627.9599999999991</v>
      </c>
      <c r="C104" s="8">
        <v>1164.44</v>
      </c>
      <c r="D104" s="8">
        <v>585.42999999999995</v>
      </c>
      <c r="E104" s="8">
        <v>484.9</v>
      </c>
      <c r="F104" s="8">
        <v>1863.54</v>
      </c>
      <c r="G104" s="8">
        <v>3467</v>
      </c>
      <c r="H104" s="8">
        <v>628.53</v>
      </c>
      <c r="I104" s="8">
        <v>7159.26</v>
      </c>
      <c r="J104" s="8">
        <v>7282.81</v>
      </c>
      <c r="K104" s="8">
        <v>2603.83</v>
      </c>
      <c r="L104" s="7" t="s">
        <v>111</v>
      </c>
      <c r="M104" s="8">
        <f t="shared" si="22"/>
        <v>11862.73</v>
      </c>
      <c r="N104" s="8">
        <f t="shared" si="23"/>
        <v>5959.07</v>
      </c>
      <c r="O104" s="8">
        <f t="shared" si="24"/>
        <v>17045.900000000001</v>
      </c>
      <c r="P104" s="8"/>
      <c r="Q104" s="10">
        <f t="shared" si="25"/>
        <v>310572.02285249461</v>
      </c>
      <c r="R104" s="10">
        <f t="shared" si="26"/>
        <v>108386.6373634604</v>
      </c>
      <c r="S104" s="10">
        <f t="shared" si="27"/>
        <v>78546.181178241604</v>
      </c>
      <c r="T104" s="10">
        <f t="shared" si="28"/>
        <v>101218.13324152245</v>
      </c>
      <c r="U104" s="10">
        <f t="shared" si="29"/>
        <v>46613.950205190136</v>
      </c>
      <c r="V104" s="10">
        <f t="shared" si="30"/>
        <v>47993.652003919407</v>
      </c>
      <c r="W104" s="10">
        <f t="shared" si="31"/>
        <v>36440.580633412079</v>
      </c>
      <c r="X104" s="10">
        <f t="shared" si="32"/>
        <v>13033.865701655588</v>
      </c>
      <c r="Y104" s="10">
        <f t="shared" si="33"/>
        <v>456886.77718125621</v>
      </c>
      <c r="Z104" s="10">
        <f t="shared" si="34"/>
        <v>50380.422985587131</v>
      </c>
      <c r="AA104" s="10">
        <f t="shared" si="35"/>
        <v>53081.570810532896</v>
      </c>
      <c r="AB104" s="10">
        <f t="shared" si="36"/>
        <v>71172.120297045331</v>
      </c>
      <c r="AC104" s="10">
        <f t="shared" si="37"/>
        <v>57656.440989630581</v>
      </c>
      <c r="AD104" s="10">
        <f t="shared" si="38"/>
        <v>59396.83080534984</v>
      </c>
      <c r="AE104" s="10">
        <f t="shared" si="39"/>
        <v>83875.378104431846</v>
      </c>
      <c r="AF104" s="10">
        <f t="shared" si="40"/>
        <v>107117.86000805147</v>
      </c>
      <c r="AG104" s="10">
        <f t="shared" si="41"/>
        <v>22217.575638218583</v>
      </c>
      <c r="AH104" s="10">
        <f t="shared" si="42"/>
        <v>1704589.9999999998</v>
      </c>
      <c r="AJ104">
        <f t="shared" si="43"/>
        <v>1.3171493293340208</v>
      </c>
    </row>
    <row r="105" spans="1:36" x14ac:dyDescent="0.4">
      <c r="A105" s="1" t="s">
        <v>112</v>
      </c>
      <c r="B105" s="8">
        <v>9357.58</v>
      </c>
      <c r="C105" s="8">
        <v>1034.44</v>
      </c>
      <c r="D105" s="8">
        <v>596.01</v>
      </c>
      <c r="E105" s="8">
        <v>479.27</v>
      </c>
      <c r="F105" s="8">
        <v>1643.46</v>
      </c>
      <c r="G105" s="8">
        <v>2947.82</v>
      </c>
      <c r="H105" s="8">
        <v>781.38</v>
      </c>
      <c r="I105" s="8">
        <v>7637.56</v>
      </c>
      <c r="J105" s="8">
        <v>7109.65</v>
      </c>
      <c r="K105" s="8">
        <v>3880.15</v>
      </c>
      <c r="L105" s="7" t="s">
        <v>112</v>
      </c>
      <c r="M105" s="8">
        <f t="shared" si="22"/>
        <v>11467.300000000001</v>
      </c>
      <c r="N105" s="8">
        <f t="shared" si="23"/>
        <v>5372.6600000000008</v>
      </c>
      <c r="O105" s="8">
        <f t="shared" si="24"/>
        <v>18627.36</v>
      </c>
      <c r="P105" s="8"/>
      <c r="Q105" s="10">
        <f t="shared" si="25"/>
        <v>339385.82741900656</v>
      </c>
      <c r="R105" s="10">
        <f t="shared" si="26"/>
        <v>118442.37695625503</v>
      </c>
      <c r="S105" s="10">
        <f t="shared" si="27"/>
        <v>85833.425834501584</v>
      </c>
      <c r="T105" s="10">
        <f t="shared" si="28"/>
        <v>110608.80366644209</v>
      </c>
      <c r="U105" s="10">
        <f t="shared" si="29"/>
        <v>50938.632251400661</v>
      </c>
      <c r="V105" s="10">
        <f t="shared" si="30"/>
        <v>52446.338039747279</v>
      </c>
      <c r="W105" s="10">
        <f t="shared" si="31"/>
        <v>39821.412425720831</v>
      </c>
      <c r="X105" s="10">
        <f t="shared" si="32"/>
        <v>14243.102952404462</v>
      </c>
      <c r="Y105" s="10">
        <f t="shared" si="33"/>
        <v>499275.16163975175</v>
      </c>
      <c r="Z105" s="10">
        <f t="shared" si="34"/>
        <v>55054.545427628123</v>
      </c>
      <c r="AA105" s="10">
        <f t="shared" si="35"/>
        <v>58006.296461512036</v>
      </c>
      <c r="AB105" s="10">
        <f t="shared" si="36"/>
        <v>77775.224935988721</v>
      </c>
      <c r="AC105" s="10">
        <f t="shared" si="37"/>
        <v>63005.607367906945</v>
      </c>
      <c r="AD105" s="10">
        <f t="shared" si="38"/>
        <v>64907.464567452662</v>
      </c>
      <c r="AE105" s="10">
        <f t="shared" si="39"/>
        <v>91657.047330288769</v>
      </c>
      <c r="AF105" s="10">
        <f t="shared" si="40"/>
        <v>117055.88679973352</v>
      </c>
      <c r="AG105" s="10">
        <f t="shared" si="41"/>
        <v>24278.845924259047</v>
      </c>
      <c r="AH105" s="10">
        <f t="shared" si="42"/>
        <v>1862736</v>
      </c>
      <c r="AJ105">
        <f t="shared" si="43"/>
        <v>1.2801600984205841</v>
      </c>
    </row>
    <row r="106" spans="1:36" x14ac:dyDescent="0.4">
      <c r="A106" s="1" t="s">
        <v>113</v>
      </c>
      <c r="B106" s="8">
        <v>9601.65</v>
      </c>
      <c r="C106" s="8">
        <v>1018.89</v>
      </c>
      <c r="D106" s="8">
        <v>541.94000000000005</v>
      </c>
      <c r="E106" s="8">
        <v>449.95</v>
      </c>
      <c r="F106" s="8">
        <v>1682.51</v>
      </c>
      <c r="G106" s="8">
        <v>2844.91</v>
      </c>
      <c r="H106" s="8">
        <v>733.69</v>
      </c>
      <c r="I106" s="8">
        <v>6640.35</v>
      </c>
      <c r="J106" s="8">
        <v>7216.9</v>
      </c>
      <c r="K106" s="8">
        <v>6509</v>
      </c>
      <c r="L106" s="7" t="s">
        <v>113</v>
      </c>
      <c r="M106" s="8">
        <f t="shared" si="22"/>
        <v>11612.43</v>
      </c>
      <c r="N106" s="8">
        <f t="shared" si="23"/>
        <v>5261.1100000000006</v>
      </c>
      <c r="O106" s="8">
        <f>I106+J106+K106</f>
        <v>20366.25</v>
      </c>
      <c r="P106" s="8"/>
      <c r="Q106" s="10">
        <f t="shared" si="25"/>
        <v>371067.96710174397</v>
      </c>
      <c r="R106" s="10">
        <f t="shared" si="26"/>
        <v>129499.13781047496</v>
      </c>
      <c r="S106" s="10">
        <f t="shared" si="27"/>
        <v>93846.095684086074</v>
      </c>
      <c r="T106" s="10">
        <f t="shared" si="28"/>
        <v>120934.28954353576</v>
      </c>
      <c r="U106" s="10">
        <f t="shared" si="29"/>
        <v>55693.824518884518</v>
      </c>
      <c r="V106" s="10">
        <f t="shared" si="30"/>
        <v>57342.27674249078</v>
      </c>
      <c r="W106" s="10">
        <f t="shared" si="31"/>
        <v>43538.796738525314</v>
      </c>
      <c r="X106" s="10">
        <f t="shared" si="32"/>
        <v>15572.716450662218</v>
      </c>
      <c r="Y106" s="10">
        <f t="shared" si="33"/>
        <v>545883.19336425525</v>
      </c>
      <c r="Z106" s="10">
        <f t="shared" si="34"/>
        <v>60193.963922715368</v>
      </c>
      <c r="AA106" s="10">
        <f t="shared" si="35"/>
        <v>63421.265026781548</v>
      </c>
      <c r="AB106" s="10">
        <f t="shared" si="36"/>
        <v>85035.650508315739</v>
      </c>
      <c r="AC106" s="10">
        <f t="shared" si="37"/>
        <v>68887.268569278458</v>
      </c>
      <c r="AD106" s="10">
        <f t="shared" si="38"/>
        <v>70966.666787289374</v>
      </c>
      <c r="AE106" s="10">
        <f t="shared" si="39"/>
        <v>100213.36035758657</v>
      </c>
      <c r="AF106" s="10">
        <f t="shared" si="40"/>
        <v>127983.2168667526</v>
      </c>
      <c r="AG106" s="10">
        <f t="shared" si="41"/>
        <v>26545.310006621487</v>
      </c>
      <c r="AH106" s="10">
        <f t="shared" si="42"/>
        <v>2036625</v>
      </c>
      <c r="AJ106">
        <f t="shared" si="43"/>
        <v>1.31355</v>
      </c>
    </row>
    <row r="107" spans="1:36" x14ac:dyDescent="0.4">
      <c r="B107" s="8">
        <f>MAX(B3:B106)</f>
        <v>730969.5101062007</v>
      </c>
      <c r="C107" s="8"/>
      <c r="D107" s="8"/>
      <c r="E107" s="8"/>
      <c r="F107" s="8"/>
      <c r="G107" s="8"/>
      <c r="H107" s="8"/>
      <c r="I107" s="8"/>
      <c r="J107" s="8"/>
      <c r="K107" s="8"/>
      <c r="Q107" s="2"/>
    </row>
    <row r="108" spans="1:36" x14ac:dyDescent="0.4">
      <c r="Q108" s="2"/>
    </row>
    <row r="109" spans="1:36" x14ac:dyDescent="0.4">
      <c r="A109" s="2"/>
    </row>
    <row r="110" spans="1:36" x14ac:dyDescent="0.4">
      <c r="A110" s="2"/>
    </row>
    <row r="111" spans="1:36" x14ac:dyDescent="0.4">
      <c r="A111" s="5"/>
      <c r="B111" s="5"/>
      <c r="C111" s="5"/>
      <c r="D111" s="5" t="s">
        <v>130</v>
      </c>
      <c r="E111" s="5" t="s">
        <v>145</v>
      </c>
      <c r="F111" s="5" t="s">
        <v>144</v>
      </c>
      <c r="G111" s="5" t="s">
        <v>146</v>
      </c>
      <c r="H111" s="12"/>
      <c r="I111" s="12"/>
      <c r="M111" s="5" t="s">
        <v>130</v>
      </c>
      <c r="N111" t="s">
        <v>140</v>
      </c>
      <c r="O111" s="5" t="s">
        <v>0</v>
      </c>
      <c r="P111" s="5" t="s">
        <v>139</v>
      </c>
      <c r="R111" s="5" t="s">
        <v>130</v>
      </c>
      <c r="S111" s="5" t="s">
        <v>4</v>
      </c>
      <c r="T111" s="5" t="s">
        <v>5</v>
      </c>
      <c r="U111" s="5" t="s">
        <v>6</v>
      </c>
      <c r="V111" s="12" t="s">
        <v>136</v>
      </c>
      <c r="W111" s="12" t="s">
        <v>137</v>
      </c>
      <c r="X111" s="12" t="s">
        <v>138</v>
      </c>
      <c r="Z111" s="5"/>
      <c r="AA111" s="5" t="s">
        <v>130</v>
      </c>
      <c r="AB111" s="5" t="s">
        <v>143</v>
      </c>
      <c r="AC111" s="5" t="s">
        <v>141</v>
      </c>
      <c r="AD111" s="5" t="s">
        <v>142</v>
      </c>
    </row>
    <row r="112" spans="1:36" x14ac:dyDescent="0.4">
      <c r="A112" s="1"/>
      <c r="B112" s="8"/>
      <c r="C112" s="8"/>
      <c r="D112" s="1" t="s">
        <v>19</v>
      </c>
      <c r="E112" s="8">
        <v>28707.418360941905</v>
      </c>
      <c r="F112" s="8">
        <v>8712.0545135962075</v>
      </c>
      <c r="G112" s="13">
        <v>37419.472874538114</v>
      </c>
      <c r="H112" s="13"/>
      <c r="I112" s="13"/>
      <c r="J112" s="8"/>
      <c r="M112" s="1" t="s">
        <v>10</v>
      </c>
      <c r="N112" s="8">
        <v>44761.448249473135</v>
      </c>
      <c r="O112" s="8">
        <v>43870.889475847885</v>
      </c>
      <c r="P112" s="8">
        <v>890.55877362524723</v>
      </c>
      <c r="Q112" s="8"/>
      <c r="R112" s="1" t="s">
        <v>19</v>
      </c>
      <c r="S112" s="8">
        <v>3079.8886731667403</v>
      </c>
      <c r="T112" s="8">
        <v>41565.92130004301</v>
      </c>
      <c r="U112" s="8">
        <v>1080.4082746872925</v>
      </c>
      <c r="V112" s="13">
        <v>1149.5551454879003</v>
      </c>
      <c r="W112" s="13">
        <v>3650.7379520104787</v>
      </c>
      <c r="X112" s="13">
        <v>3189.48594772671</v>
      </c>
      <c r="Y112" s="8"/>
      <c r="Z112" s="8"/>
      <c r="AA112" s="1" t="s">
        <v>19</v>
      </c>
      <c r="AB112" s="8">
        <v>53715.997293122135</v>
      </c>
      <c r="AC112" s="8">
        <v>45726.218247897043</v>
      </c>
      <c r="AD112" s="8">
        <v>7989.7790452250892</v>
      </c>
      <c r="AE112" s="8"/>
    </row>
    <row r="113" spans="1:31" x14ac:dyDescent="0.4">
      <c r="A113" s="1"/>
      <c r="B113" s="8"/>
      <c r="C113" s="8"/>
      <c r="D113" s="1" t="s">
        <v>20</v>
      </c>
      <c r="E113" s="8">
        <v>17934.295828401417</v>
      </c>
      <c r="F113" s="8">
        <v>8496.2928499718255</v>
      </c>
      <c r="G113" s="13">
        <v>26430.588678373242</v>
      </c>
      <c r="H113" s="13"/>
      <c r="I113" s="13"/>
      <c r="J113" s="8"/>
      <c r="M113" s="1" t="s">
        <v>11</v>
      </c>
      <c r="N113" s="8">
        <v>48095.582257265371</v>
      </c>
      <c r="O113" s="8">
        <v>47138.688670777658</v>
      </c>
      <c r="P113" s="8">
        <v>956.89358648771167</v>
      </c>
      <c r="Q113" s="8"/>
      <c r="R113" s="1" t="s">
        <v>20</v>
      </c>
      <c r="S113" s="8">
        <v>1924.0892332647475</v>
      </c>
      <c r="T113" s="8">
        <v>25967.348216489507</v>
      </c>
      <c r="U113" s="8">
        <v>674.96008767048659</v>
      </c>
      <c r="V113" s="13">
        <v>1025.6454858785009</v>
      </c>
      <c r="W113" s="13">
        <v>3238.3651929922967</v>
      </c>
      <c r="X113" s="13">
        <v>2852.6121738226611</v>
      </c>
      <c r="Y113" s="8"/>
      <c r="Z113" s="8"/>
      <c r="AA113" s="1" t="s">
        <v>20</v>
      </c>
      <c r="AB113" s="8">
        <v>35683.020390118203</v>
      </c>
      <c r="AC113" s="8">
        <v>28566.397537424742</v>
      </c>
      <c r="AD113" s="8">
        <v>7116.6228526934592</v>
      </c>
      <c r="AE113" s="8"/>
    </row>
    <row r="114" spans="1:31" x14ac:dyDescent="0.4">
      <c r="A114" s="1"/>
      <c r="B114" s="8"/>
      <c r="C114" s="8"/>
      <c r="D114" s="1" t="s">
        <v>21</v>
      </c>
      <c r="E114" s="8">
        <v>13120.168636624321</v>
      </c>
      <c r="F114" s="8">
        <v>8079.2927511892349</v>
      </c>
      <c r="G114" s="13">
        <v>21199.461387813557</v>
      </c>
      <c r="H114" s="13"/>
      <c r="I114" s="13"/>
      <c r="J114" s="8"/>
      <c r="M114" s="1" t="s">
        <v>12</v>
      </c>
      <c r="N114" s="8">
        <v>78088.617978184426</v>
      </c>
      <c r="O114" s="8">
        <v>76534.993004453572</v>
      </c>
      <c r="P114" s="8">
        <v>1553.6249737308465</v>
      </c>
      <c r="Q114" s="8"/>
      <c r="R114" s="1" t="s">
        <v>21</v>
      </c>
      <c r="S114" s="8">
        <v>1407.6033680881269</v>
      </c>
      <c r="T114" s="8">
        <v>18996.897949388644</v>
      </c>
      <c r="U114" s="8">
        <v>493.77964197531963</v>
      </c>
      <c r="V114" s="13">
        <v>927.06059446031247</v>
      </c>
      <c r="W114" s="13">
        <v>2738.7421664237163</v>
      </c>
      <c r="X114" s="13">
        <v>2777.8517435894996</v>
      </c>
      <c r="Y114" s="8"/>
      <c r="Z114" s="8"/>
      <c r="AA114" s="1" t="s">
        <v>21</v>
      </c>
      <c r="AB114" s="8">
        <v>27341.93546392562</v>
      </c>
      <c r="AC114" s="8">
        <v>20898.280959452091</v>
      </c>
      <c r="AD114" s="8">
        <v>6443.6545044735285</v>
      </c>
      <c r="AE114" s="8"/>
    </row>
    <row r="115" spans="1:31" x14ac:dyDescent="0.4">
      <c r="A115" s="1"/>
      <c r="B115" s="8"/>
      <c r="C115" s="8"/>
      <c r="D115" s="1" t="s">
        <v>22</v>
      </c>
      <c r="E115" s="8">
        <v>10020.506634590512</v>
      </c>
      <c r="F115" s="8">
        <v>8210.4712932882394</v>
      </c>
      <c r="G115" s="13">
        <v>18230.977927878754</v>
      </c>
      <c r="H115" s="13"/>
      <c r="I115" s="13"/>
      <c r="J115" s="8"/>
      <c r="M115" s="1" t="s">
        <v>13</v>
      </c>
      <c r="N115" s="8">
        <v>202113.62989779498</v>
      </c>
      <c r="O115" s="8">
        <v>198092.44485097635</v>
      </c>
      <c r="P115" s="8">
        <v>4021.1850468186317</v>
      </c>
      <c r="Q115" s="8"/>
      <c r="R115" s="1" t="s">
        <v>22</v>
      </c>
      <c r="S115" s="8">
        <v>1075.0546947564287</v>
      </c>
      <c r="T115" s="8">
        <v>14508.848720672009</v>
      </c>
      <c r="U115" s="8">
        <v>377.12336750211665</v>
      </c>
      <c r="V115" s="13">
        <v>965.95188190051533</v>
      </c>
      <c r="W115" s="13">
        <v>3116.2144368162994</v>
      </c>
      <c r="X115" s="13">
        <v>3190.3863173057148</v>
      </c>
      <c r="Y115" s="8"/>
      <c r="Z115" s="8"/>
      <c r="AA115" s="1" t="s">
        <v>22</v>
      </c>
      <c r="AB115" s="8">
        <v>23233.579418953082</v>
      </c>
      <c r="AC115" s="8">
        <v>15961.026782930554</v>
      </c>
      <c r="AD115" s="8">
        <v>7272.5526360225294</v>
      </c>
      <c r="AE115" s="8"/>
    </row>
    <row r="116" spans="1:31" x14ac:dyDescent="0.4">
      <c r="A116" s="1"/>
      <c r="B116" s="8"/>
      <c r="C116" s="8"/>
      <c r="D116" s="1" t="s">
        <v>23</v>
      </c>
      <c r="E116" s="8">
        <v>7569.3784721614356</v>
      </c>
      <c r="F116" s="8">
        <v>7277.0753785560728</v>
      </c>
      <c r="G116" s="13">
        <v>14846.453850717509</v>
      </c>
      <c r="H116" s="13"/>
      <c r="I116" s="13"/>
      <c r="J116" s="8"/>
      <c r="M116" s="1" t="s">
        <v>14</v>
      </c>
      <c r="N116" s="8">
        <v>442182.61473820469</v>
      </c>
      <c r="O116" s="8">
        <v>433385.09762247337</v>
      </c>
      <c r="P116" s="8">
        <v>8797.5171157312998</v>
      </c>
      <c r="Q116" s="8"/>
      <c r="R116" s="1" t="s">
        <v>23</v>
      </c>
      <c r="S116" s="8">
        <v>812.08427474065866</v>
      </c>
      <c r="T116" s="8">
        <v>10959.821810106472</v>
      </c>
      <c r="U116" s="8">
        <v>284.87476765551787</v>
      </c>
      <c r="V116" s="13">
        <v>844.75577685430176</v>
      </c>
      <c r="W116" s="13">
        <v>2721.2921129136366</v>
      </c>
      <c r="X116" s="13">
        <v>3183.1800545430356</v>
      </c>
      <c r="Y116" s="8"/>
      <c r="Z116" s="8"/>
      <c r="AA116" s="1" t="s">
        <v>23</v>
      </c>
      <c r="AB116" s="8">
        <v>18806.008796813621</v>
      </c>
      <c r="AC116" s="8">
        <v>12056.780852502648</v>
      </c>
      <c r="AD116" s="8">
        <v>6749.2279443109746</v>
      </c>
      <c r="AE116" s="8"/>
    </row>
    <row r="117" spans="1:31" x14ac:dyDescent="0.4">
      <c r="A117" s="1"/>
      <c r="B117" s="8"/>
      <c r="C117" s="8"/>
      <c r="D117" s="1" t="s">
        <v>24</v>
      </c>
      <c r="E117" s="8">
        <v>7581.2612456825418</v>
      </c>
      <c r="F117" s="8">
        <v>7314.2585849785619</v>
      </c>
      <c r="G117" s="13">
        <v>14895.519830661104</v>
      </c>
      <c r="H117" s="13"/>
      <c r="I117" s="13"/>
      <c r="J117" s="8"/>
      <c r="M117" s="1" t="s">
        <v>15</v>
      </c>
      <c r="N117" s="8">
        <v>745807.85321378696</v>
      </c>
      <c r="O117" s="8">
        <v>730969.5101062007</v>
      </c>
      <c r="P117" s="8">
        <v>14838.343107586254</v>
      </c>
      <c r="Q117" s="8"/>
      <c r="R117" s="1" t="s">
        <v>24</v>
      </c>
      <c r="S117" s="8">
        <v>813.35912360074474</v>
      </c>
      <c r="T117" s="8">
        <v>10977.027064260448</v>
      </c>
      <c r="U117" s="8">
        <v>285.32197773470443</v>
      </c>
      <c r="V117" s="13">
        <v>837.52018849333388</v>
      </c>
      <c r="W117" s="13">
        <v>2825.0739096826792</v>
      </c>
      <c r="X117" s="13">
        <v>3207.4999515680861</v>
      </c>
      <c r="Y117" s="8"/>
      <c r="Z117" s="8"/>
      <c r="AA117" s="1" t="s">
        <v>24</v>
      </c>
      <c r="AB117" s="8">
        <v>18945.802215339994</v>
      </c>
      <c r="AC117" s="8">
        <v>12075.708165595897</v>
      </c>
      <c r="AD117" s="8">
        <v>6870.0940497440988</v>
      </c>
      <c r="AE117" s="8"/>
    </row>
    <row r="118" spans="1:31" x14ac:dyDescent="0.4">
      <c r="A118" s="1"/>
      <c r="B118" s="8"/>
      <c r="C118" s="8"/>
      <c r="D118" s="1" t="s">
        <v>25</v>
      </c>
      <c r="E118" s="8">
        <v>7964.5971049766167</v>
      </c>
      <c r="F118" s="8">
        <v>7647.4689214542095</v>
      </c>
      <c r="G118" s="13">
        <v>15612.066026430826</v>
      </c>
      <c r="H118" s="13"/>
      <c r="I118" s="13"/>
      <c r="J118" s="8"/>
      <c r="M118" s="1" t="s">
        <v>16</v>
      </c>
      <c r="N118" s="8">
        <v>611192.44435932592</v>
      </c>
      <c r="O118" s="8">
        <v>599032.36431312084</v>
      </c>
      <c r="P118" s="8">
        <v>12160.080046205054</v>
      </c>
      <c r="Q118" s="8"/>
      <c r="R118" s="1" t="s">
        <v>25</v>
      </c>
      <c r="S118" s="8">
        <v>854.48548878671272</v>
      </c>
      <c r="T118" s="8">
        <v>11532.065067279926</v>
      </c>
      <c r="U118" s="8">
        <v>299.74888401928933</v>
      </c>
      <c r="V118" s="13">
        <v>807.67317757651813</v>
      </c>
      <c r="W118" s="13">
        <v>2717.6183973533334</v>
      </c>
      <c r="X118" s="13">
        <v>3182.2796849640308</v>
      </c>
      <c r="Y118" s="8"/>
      <c r="Z118" s="8"/>
      <c r="AA118" s="1" t="s">
        <v>25</v>
      </c>
      <c r="AB118" s="8">
        <v>19393.870699979809</v>
      </c>
      <c r="AC118" s="8">
        <v>12686.299440085928</v>
      </c>
      <c r="AD118" s="8">
        <v>6707.5712598938826</v>
      </c>
      <c r="AE118" s="8"/>
    </row>
    <row r="119" spans="1:31" x14ac:dyDescent="0.4">
      <c r="A119" s="1"/>
      <c r="B119" s="8"/>
      <c r="C119" s="8"/>
      <c r="D119" s="1" t="s">
        <v>26</v>
      </c>
      <c r="E119" s="8">
        <v>7021.6671202263469</v>
      </c>
      <c r="F119" s="8">
        <v>7104.3423359427443</v>
      </c>
      <c r="G119" s="13">
        <v>14126.009456169091</v>
      </c>
      <c r="H119" s="13"/>
      <c r="I119" s="13"/>
      <c r="J119" s="8"/>
      <c r="M119" s="1" t="s">
        <v>17</v>
      </c>
      <c r="N119" s="8">
        <v>504915.79482657043</v>
      </c>
      <c r="O119" s="8">
        <v>494870.1593833504</v>
      </c>
      <c r="P119" s="8">
        <v>10045.635443220053</v>
      </c>
      <c r="Q119" s="8"/>
      <c r="R119" s="1" t="s">
        <v>26</v>
      </c>
      <c r="S119" s="8">
        <v>753.32280870493764</v>
      </c>
      <c r="T119" s="8">
        <v>10166.781953180547</v>
      </c>
      <c r="U119" s="8">
        <v>264.26156345405803</v>
      </c>
      <c r="V119" s="13">
        <v>873.69813029817362</v>
      </c>
      <c r="W119" s="13">
        <v>2648.7363259990111</v>
      </c>
      <c r="X119" s="13">
        <v>3464.2077716343038</v>
      </c>
      <c r="Y119" s="8"/>
      <c r="Z119" s="8"/>
      <c r="AA119" s="1" t="s">
        <v>26</v>
      </c>
      <c r="AB119" s="8">
        <v>18171.008553271029</v>
      </c>
      <c r="AC119" s="8">
        <v>11184.366325339543</v>
      </c>
      <c r="AD119" s="8">
        <v>6986.6422279314884</v>
      </c>
      <c r="AE119" s="8"/>
    </row>
    <row r="120" spans="1:31" x14ac:dyDescent="0.4">
      <c r="A120" s="1"/>
      <c r="B120" s="8"/>
      <c r="C120" s="8"/>
      <c r="D120" s="1" t="s">
        <v>27</v>
      </c>
      <c r="E120" s="8">
        <v>6812.4337263830166</v>
      </c>
      <c r="F120" s="8">
        <v>7137.3316393559326</v>
      </c>
      <c r="G120" s="13">
        <v>13949.765365738949</v>
      </c>
      <c r="H120" s="13"/>
      <c r="I120" s="13"/>
      <c r="J120" s="8"/>
      <c r="M120" s="1" t="s">
        <v>18</v>
      </c>
      <c r="N120" s="8">
        <v>235004.65119394683</v>
      </c>
      <c r="O120" s="8">
        <v>230329.07741007191</v>
      </c>
      <c r="P120" s="8">
        <v>4675.5737838749146</v>
      </c>
      <c r="Q120" s="8"/>
      <c r="R120" s="1" t="s">
        <v>27</v>
      </c>
      <c r="S120" s="8">
        <v>730.87510715114433</v>
      </c>
      <c r="T120" s="8">
        <v>9863.8296405593064</v>
      </c>
      <c r="U120" s="8">
        <v>256.38703126147311</v>
      </c>
      <c r="V120" s="13">
        <v>848.37357103478575</v>
      </c>
      <c r="W120" s="13">
        <v>2705.6787263809888</v>
      </c>
      <c r="X120" s="13">
        <v>3315.5872807469859</v>
      </c>
      <c r="Y120" s="8"/>
      <c r="Z120" s="8"/>
      <c r="AA120" s="1" t="s">
        <v>27</v>
      </c>
      <c r="AB120" s="8">
        <v>17720.731357134686</v>
      </c>
      <c r="AC120" s="8">
        <v>10851.091778971924</v>
      </c>
      <c r="AD120" s="8">
        <v>6869.6395781627607</v>
      </c>
      <c r="AE120" s="8"/>
    </row>
    <row r="121" spans="1:31" x14ac:dyDescent="0.4">
      <c r="A121" s="1"/>
      <c r="B121" s="8"/>
      <c r="C121" s="8"/>
      <c r="D121" s="1" t="s">
        <v>28</v>
      </c>
      <c r="E121" s="8">
        <v>6599.147427202297</v>
      </c>
      <c r="F121" s="8">
        <v>6926.8399124612988</v>
      </c>
      <c r="G121" s="13">
        <v>13525.987339663596</v>
      </c>
      <c r="H121" s="13"/>
      <c r="I121" s="13"/>
      <c r="J121" s="8"/>
      <c r="M121" s="1" t="s">
        <v>19</v>
      </c>
      <c r="N121" s="8">
        <v>124143.0733027743</v>
      </c>
      <c r="O121" s="8">
        <v>121673.16431997258</v>
      </c>
      <c r="P121" s="8">
        <v>2469.9089828017159</v>
      </c>
      <c r="Q121" s="8"/>
      <c r="R121" s="1" t="s">
        <v>28</v>
      </c>
      <c r="S121" s="8">
        <v>707.99258777134196</v>
      </c>
      <c r="T121" s="8">
        <v>9555.0090627331538</v>
      </c>
      <c r="U121" s="8">
        <v>248.35996732925273</v>
      </c>
      <c r="V121" s="13">
        <v>820.33545720821201</v>
      </c>
      <c r="W121" s="13">
        <v>2659.7574726799203</v>
      </c>
      <c r="X121" s="13">
        <v>3687.5897947983312</v>
      </c>
      <c r="Y121" s="8"/>
      <c r="Z121" s="8"/>
      <c r="AA121" s="1" t="s">
        <v>28</v>
      </c>
      <c r="AB121" s="8">
        <v>17679.04434252021</v>
      </c>
      <c r="AC121" s="8">
        <v>10511.361617833747</v>
      </c>
      <c r="AD121" s="8">
        <v>7167.6827246864632</v>
      </c>
      <c r="AE121" s="8"/>
    </row>
    <row r="122" spans="1:31" x14ac:dyDescent="0.4">
      <c r="A122" s="1"/>
      <c r="B122" s="8"/>
      <c r="C122" s="8"/>
      <c r="D122" s="1" t="s">
        <v>29</v>
      </c>
      <c r="E122" s="8">
        <v>6632.9331359509861</v>
      </c>
      <c r="F122" s="8">
        <v>7185.7742743501303</v>
      </c>
      <c r="G122" s="13">
        <v>13818.707410301116</v>
      </c>
      <c r="H122" s="13"/>
      <c r="I122" s="13"/>
      <c r="J122" s="8"/>
      <c r="M122" s="1" t="s">
        <v>20</v>
      </c>
      <c r="N122" s="8">
        <v>77555.514524707221</v>
      </c>
      <c r="O122" s="8">
        <v>76012.495998629674</v>
      </c>
      <c r="P122" s="8">
        <v>1543.0185260775443</v>
      </c>
      <c r="Q122" s="8"/>
      <c r="R122" s="1" t="s">
        <v>29</v>
      </c>
      <c r="S122" s="8">
        <v>711.61730318049797</v>
      </c>
      <c r="T122" s="8">
        <v>9603.9279203349506</v>
      </c>
      <c r="U122" s="8">
        <v>249.63149787370324</v>
      </c>
      <c r="V122" s="13">
        <v>800.43758921555025</v>
      </c>
      <c r="W122" s="13">
        <v>2579.8546362501274</v>
      </c>
      <c r="X122" s="13">
        <v>3278.6578014416818</v>
      </c>
      <c r="Y122" s="8"/>
      <c r="Z122" s="8"/>
      <c r="AA122" s="1" t="s">
        <v>29</v>
      </c>
      <c r="AB122" s="8">
        <v>17224.126748296512</v>
      </c>
      <c r="AC122" s="8">
        <v>10565.176721389151</v>
      </c>
      <c r="AD122" s="8">
        <v>6658.9500269073596</v>
      </c>
      <c r="AE122" s="8"/>
    </row>
    <row r="123" spans="1:31" x14ac:dyDescent="0.4">
      <c r="A123" s="1"/>
      <c r="B123" s="8"/>
      <c r="C123" s="8"/>
      <c r="D123" s="1" t="s">
        <v>30</v>
      </c>
      <c r="E123" s="8">
        <v>6159.312342864474</v>
      </c>
      <c r="F123" s="8">
        <v>7147.6437138912461</v>
      </c>
      <c r="G123" s="13">
        <v>13306.95605675572</v>
      </c>
      <c r="H123" s="13"/>
      <c r="I123" s="13"/>
      <c r="J123" s="8"/>
      <c r="M123" s="1" t="s">
        <v>21</v>
      </c>
      <c r="N123" s="8">
        <v>56737.183271668197</v>
      </c>
      <c r="O123" s="8">
        <v>55608.359287427193</v>
      </c>
      <c r="P123" s="8">
        <v>1128.8239842410026</v>
      </c>
      <c r="Q123" s="8"/>
      <c r="R123" s="1" t="s">
        <v>30</v>
      </c>
      <c r="S123" s="8">
        <v>660.80467706194599</v>
      </c>
      <c r="T123" s="8">
        <v>8918.1649456230734</v>
      </c>
      <c r="U123" s="8">
        <v>231.80670368702613</v>
      </c>
      <c r="V123" s="13">
        <v>768.78189013631516</v>
      </c>
      <c r="W123" s="13">
        <v>2325.4508831140988</v>
      </c>
      <c r="X123" s="13">
        <v>3574.9984136373137</v>
      </c>
      <c r="Y123" s="8"/>
      <c r="Z123" s="8"/>
      <c r="AA123" s="1" t="s">
        <v>30</v>
      </c>
      <c r="AB123" s="8">
        <v>16480.00751325977</v>
      </c>
      <c r="AC123" s="8">
        <v>9810.7763263720444</v>
      </c>
      <c r="AD123" s="8">
        <v>6669.2311868877277</v>
      </c>
      <c r="AE123" s="8"/>
    </row>
    <row r="124" spans="1:31" x14ac:dyDescent="0.4">
      <c r="A124" s="1"/>
      <c r="B124" s="8"/>
      <c r="C124" s="8"/>
      <c r="D124" s="1" t="s">
        <v>31</v>
      </c>
      <c r="E124" s="8">
        <v>5642.6962603902757</v>
      </c>
      <c r="F124" s="8">
        <v>6987.1413465923433</v>
      </c>
      <c r="G124" s="13">
        <v>12629.837606982619</v>
      </c>
      <c r="H124" s="13"/>
      <c r="I124" s="13"/>
      <c r="J124" s="8"/>
      <c r="M124" s="1" t="s">
        <v>22</v>
      </c>
      <c r="N124" s="8">
        <v>43332.927887427446</v>
      </c>
      <c r="O124" s="8">
        <v>42470.790476190472</v>
      </c>
      <c r="P124" s="8">
        <v>862.13741123697662</v>
      </c>
      <c r="Q124" s="8"/>
      <c r="R124" s="1" t="s">
        <v>31</v>
      </c>
      <c r="S124" s="8">
        <v>605.37928141045586</v>
      </c>
      <c r="T124" s="8">
        <v>8170.1484170565354</v>
      </c>
      <c r="U124" s="8">
        <v>212.36377491774815</v>
      </c>
      <c r="V124" s="13">
        <v>778.73082413264626</v>
      </c>
      <c r="W124" s="13">
        <v>2375.0458523754705</v>
      </c>
      <c r="X124" s="13">
        <v>3446.1937677929282</v>
      </c>
      <c r="Y124" s="8"/>
      <c r="Z124" s="8"/>
      <c r="AA124" s="1" t="s">
        <v>31</v>
      </c>
      <c r="AB124" s="8">
        <v>15587.861917685785</v>
      </c>
      <c r="AC124" s="8">
        <v>8987.8914733847396</v>
      </c>
      <c r="AD124" s="8">
        <v>6599.9704443010451</v>
      </c>
      <c r="AE124" s="8"/>
    </row>
    <row r="125" spans="1:31" x14ac:dyDescent="0.4">
      <c r="A125" s="1"/>
      <c r="B125" s="8"/>
      <c r="C125" s="8"/>
      <c r="D125" s="1" t="s">
        <v>32</v>
      </c>
      <c r="E125" s="8">
        <v>5766.7841493370925</v>
      </c>
      <c r="F125" s="8">
        <v>7401.4450036146045</v>
      </c>
      <c r="G125" s="13">
        <v>13168.229152951697</v>
      </c>
      <c r="H125" s="13"/>
      <c r="I125" s="13"/>
      <c r="J125" s="8"/>
      <c r="M125" s="1" t="s">
        <v>23</v>
      </c>
      <c r="N125" s="8">
        <v>32733.208354411825</v>
      </c>
      <c r="O125" s="8">
        <v>32081.959410757107</v>
      </c>
      <c r="P125" s="8">
        <v>651.24894365471755</v>
      </c>
      <c r="Q125" s="8"/>
      <c r="R125" s="1" t="s">
        <v>32</v>
      </c>
      <c r="S125" s="8">
        <v>618.69210804081717</v>
      </c>
      <c r="T125" s="8">
        <v>8349.8172176920307</v>
      </c>
      <c r="U125" s="8">
        <v>217.03384243552333</v>
      </c>
      <c r="V125" s="13">
        <v>889.97820411035161</v>
      </c>
      <c r="W125" s="13">
        <v>2341.9827939381817</v>
      </c>
      <c r="X125" s="13">
        <v>3678.5816908340948</v>
      </c>
      <c r="Y125" s="8"/>
      <c r="Z125" s="8"/>
      <c r="AA125" s="1" t="s">
        <v>32</v>
      </c>
      <c r="AB125" s="8">
        <v>16096.085857050999</v>
      </c>
      <c r="AC125" s="8">
        <v>9185.5431681683713</v>
      </c>
      <c r="AD125" s="8">
        <v>6910.5426888826278</v>
      </c>
      <c r="AE125" s="8"/>
    </row>
    <row r="126" spans="1:31" x14ac:dyDescent="0.4">
      <c r="A126" s="1"/>
      <c r="B126" s="8"/>
      <c r="C126" s="8"/>
      <c r="D126" s="1" t="s">
        <v>33</v>
      </c>
      <c r="E126" s="8">
        <v>6162.2787246433281</v>
      </c>
      <c r="F126" s="8">
        <v>7370.0811938756151</v>
      </c>
      <c r="G126" s="13">
        <v>13532.359918518943</v>
      </c>
      <c r="H126" s="13"/>
      <c r="I126" s="13"/>
      <c r="J126" s="8"/>
      <c r="M126" s="1" t="s">
        <v>24</v>
      </c>
      <c r="N126" s="8">
        <v>32784.594515498255</v>
      </c>
      <c r="O126" s="8">
        <v>32132.323210003426</v>
      </c>
      <c r="P126" s="8">
        <v>652.27130549483036</v>
      </c>
      <c r="Q126" s="8"/>
      <c r="R126" s="1" t="s">
        <v>33</v>
      </c>
      <c r="S126" s="8">
        <v>661.12292670481224</v>
      </c>
      <c r="T126" s="8">
        <v>8922.4600163262439</v>
      </c>
      <c r="U126" s="8">
        <v>231.91834393901465</v>
      </c>
      <c r="V126" s="13">
        <v>1003.0342722504761</v>
      </c>
      <c r="W126" s="13">
        <v>2373.2091853980387</v>
      </c>
      <c r="X126" s="13">
        <v>4563.9998450178755</v>
      </c>
      <c r="Y126" s="8"/>
      <c r="Z126" s="8"/>
      <c r="AA126" s="1" t="s">
        <v>33</v>
      </c>
      <c r="AB126" s="8">
        <v>17755.744589636462</v>
      </c>
      <c r="AC126" s="8">
        <v>9815.5012869700713</v>
      </c>
      <c r="AD126" s="8">
        <v>7940.2433026663903</v>
      </c>
      <c r="AE126" s="8"/>
    </row>
    <row r="127" spans="1:31" x14ac:dyDescent="0.4">
      <c r="A127" s="1"/>
      <c r="B127" s="8"/>
      <c r="C127" s="8"/>
      <c r="D127" s="1" t="s">
        <v>34</v>
      </c>
      <c r="E127" s="8">
        <v>6688.0871413508348</v>
      </c>
      <c r="F127" s="8">
        <v>7637.6066537578454</v>
      </c>
      <c r="G127" s="13">
        <v>14325.69379510868</v>
      </c>
      <c r="H127" s="13"/>
      <c r="I127" s="13"/>
      <c r="J127" s="8"/>
      <c r="M127" s="1" t="s">
        <v>25</v>
      </c>
      <c r="N127" s="8">
        <v>34442.30163083654</v>
      </c>
      <c r="O127" s="8">
        <v>33757.049140116476</v>
      </c>
      <c r="P127" s="8">
        <v>685.25249072006238</v>
      </c>
      <c r="Q127" s="8"/>
      <c r="R127" s="1" t="s">
        <v>34</v>
      </c>
      <c r="S127" s="8">
        <v>717.53452619146321</v>
      </c>
      <c r="T127" s="8">
        <v>9683.7862698043482</v>
      </c>
      <c r="U127" s="8">
        <v>251.70722767521053</v>
      </c>
      <c r="V127" s="13">
        <v>1414.5587781361751</v>
      </c>
      <c r="W127" s="13">
        <v>2603.7335965893776</v>
      </c>
      <c r="X127" s="13">
        <v>6065.5176489954174</v>
      </c>
      <c r="Y127" s="8"/>
      <c r="Z127" s="8"/>
      <c r="AA127" s="1" t="s">
        <v>34</v>
      </c>
      <c r="AB127" s="8">
        <v>20736.83804739199</v>
      </c>
      <c r="AC127" s="8">
        <v>10653.02802367102</v>
      </c>
      <c r="AD127" s="8">
        <v>10083.810023720969</v>
      </c>
      <c r="AE127" s="8"/>
    </row>
    <row r="128" spans="1:31" x14ac:dyDescent="0.4">
      <c r="A128" s="1"/>
      <c r="B128" s="8"/>
      <c r="C128" s="8"/>
      <c r="D128" s="1" t="s">
        <v>35</v>
      </c>
      <c r="E128" s="8">
        <v>7669.3903787636018</v>
      </c>
      <c r="F128" s="8">
        <v>7753.7815027757879</v>
      </c>
      <c r="G128" s="13">
        <v>15423.171881539391</v>
      </c>
      <c r="H128" s="13"/>
      <c r="I128" s="13"/>
      <c r="J128" s="8"/>
      <c r="M128" s="1" t="s">
        <v>26</v>
      </c>
      <c r="N128" s="8">
        <v>30364.671774175484</v>
      </c>
      <c r="O128" s="8">
        <v>29760.546440561837</v>
      </c>
      <c r="P128" s="8">
        <v>604.12533361364535</v>
      </c>
      <c r="Q128" s="8"/>
      <c r="R128" s="1" t="s">
        <v>35</v>
      </c>
      <c r="S128" s="8">
        <v>822.81409845566429</v>
      </c>
      <c r="T128" s="8">
        <v>11104.630618290659</v>
      </c>
      <c r="U128" s="8">
        <v>288.63873173273515</v>
      </c>
      <c r="V128" s="13">
        <v>2060.3356661360349</v>
      </c>
      <c r="W128" s="13">
        <v>2813.1346203157741</v>
      </c>
      <c r="X128" s="13">
        <v>9126.1989508777442</v>
      </c>
      <c r="Y128" s="8"/>
      <c r="Z128" s="8"/>
      <c r="AA128" s="1" t="s">
        <v>35</v>
      </c>
      <c r="AB128" s="8">
        <v>26215.752685808613</v>
      </c>
      <c r="AC128" s="8">
        <v>12216.083448479059</v>
      </c>
      <c r="AD128" s="8">
        <v>13999.669237329554</v>
      </c>
      <c r="AE128" s="8"/>
    </row>
    <row r="129" spans="1:31" x14ac:dyDescent="0.4">
      <c r="A129" s="1"/>
      <c r="B129" s="8"/>
      <c r="C129" s="8"/>
      <c r="D129" s="1" t="s">
        <v>36</v>
      </c>
      <c r="E129" s="8">
        <v>8214.6699874962578</v>
      </c>
      <c r="F129" s="8">
        <v>7704.7958562782751</v>
      </c>
      <c r="G129" s="13">
        <v>15919.465843774533</v>
      </c>
      <c r="H129" s="13"/>
      <c r="I129" s="13"/>
      <c r="J129" s="8"/>
      <c r="M129" s="1" t="s">
        <v>27</v>
      </c>
      <c r="N129" s="8">
        <v>29459.857686656513</v>
      </c>
      <c r="O129" s="8">
        <v>28873.734230900991</v>
      </c>
      <c r="P129" s="8">
        <v>586.1234557555216</v>
      </c>
      <c r="Q129" s="8"/>
      <c r="R129" s="1" t="s">
        <v>36</v>
      </c>
      <c r="S129" s="8">
        <v>881.31467379577987</v>
      </c>
      <c r="T129" s="8">
        <v>11894.149516093637</v>
      </c>
      <c r="U129" s="8">
        <v>309.16041689041373</v>
      </c>
      <c r="V129" s="13">
        <v>2089.2782285077296</v>
      </c>
      <c r="W129" s="13">
        <v>3273.265300012456</v>
      </c>
      <c r="X129" s="13">
        <v>11020.435483528567</v>
      </c>
      <c r="Y129" s="8"/>
      <c r="Z129" s="8"/>
      <c r="AA129" s="1" t="s">
        <v>36</v>
      </c>
      <c r="AB129" s="8">
        <v>29467.603618828583</v>
      </c>
      <c r="AC129" s="8">
        <v>13084.624606779831</v>
      </c>
      <c r="AD129" s="8">
        <v>16382.979012048752</v>
      </c>
      <c r="AE129" s="8"/>
    </row>
    <row r="130" spans="1:31" x14ac:dyDescent="0.4">
      <c r="A130" s="1"/>
      <c r="B130" s="8"/>
      <c r="C130" s="8"/>
      <c r="D130" s="1" t="s">
        <v>37</v>
      </c>
      <c r="E130" s="8">
        <v>10225.687123096457</v>
      </c>
      <c r="F130" s="8">
        <v>8045.7788482098003</v>
      </c>
      <c r="G130" s="13">
        <v>18271.465971306257</v>
      </c>
      <c r="H130" s="13"/>
      <c r="I130" s="13"/>
      <c r="J130" s="8"/>
      <c r="M130" s="1" t="s">
        <v>28</v>
      </c>
      <c r="N130" s="8">
        <v>28537.517114587023</v>
      </c>
      <c r="O130" s="8">
        <v>27969.744237752653</v>
      </c>
      <c r="P130" s="8">
        <v>567.77287683436964</v>
      </c>
      <c r="Q130" s="8"/>
      <c r="R130" s="1" t="s">
        <v>37</v>
      </c>
      <c r="S130" s="8">
        <v>1097.0675784842128</v>
      </c>
      <c r="T130" s="8">
        <v>14805.932768088338</v>
      </c>
      <c r="U130" s="8">
        <v>384.84536795506608</v>
      </c>
      <c r="V130" s="13">
        <v>1536.6595406553324</v>
      </c>
      <c r="W130" s="13">
        <v>3476.2370353042425</v>
      </c>
      <c r="X130" s="13">
        <v>9235.1877516791938</v>
      </c>
      <c r="Y130" s="8"/>
      <c r="Z130" s="8"/>
      <c r="AA130" s="1" t="s">
        <v>37</v>
      </c>
      <c r="AB130" s="8">
        <v>30535.930042166387</v>
      </c>
      <c r="AC130" s="8">
        <v>16287.845714527617</v>
      </c>
      <c r="AD130" s="8">
        <v>14248.084327638768</v>
      </c>
      <c r="AE130" s="8"/>
    </row>
    <row r="131" spans="1:31" x14ac:dyDescent="0.4">
      <c r="A131" s="1"/>
      <c r="B131" s="8"/>
      <c r="C131" s="8"/>
      <c r="D131" s="1" t="s">
        <v>38</v>
      </c>
      <c r="E131" s="8">
        <v>6781.3557033278166</v>
      </c>
      <c r="F131" s="8">
        <v>8353.3260902612456</v>
      </c>
      <c r="G131" s="13">
        <v>15134.681793589061</v>
      </c>
      <c r="H131" s="13"/>
      <c r="I131" s="13"/>
      <c r="J131" s="8"/>
      <c r="M131" s="1" t="s">
        <v>29</v>
      </c>
      <c r="N131" s="8">
        <v>28683.620873031603</v>
      </c>
      <c r="O131" s="8">
        <v>28112.941164782456</v>
      </c>
      <c r="P131" s="8">
        <v>570.67970824914573</v>
      </c>
      <c r="Q131" s="8"/>
      <c r="R131" s="1" t="s">
        <v>38</v>
      </c>
      <c r="S131" s="8">
        <v>727.54088705553477</v>
      </c>
      <c r="T131" s="8">
        <v>9818.8312835412162</v>
      </c>
      <c r="U131" s="8">
        <v>255.21740490052369</v>
      </c>
      <c r="V131" s="13">
        <v>1154.0773882135052</v>
      </c>
      <c r="W131" s="13">
        <v>3201.6280373892664</v>
      </c>
      <c r="X131" s="13">
        <v>6825.7337376943797</v>
      </c>
      <c r="Y131" s="8"/>
      <c r="Z131" s="8"/>
      <c r="AA131" s="1" t="s">
        <v>38</v>
      </c>
      <c r="AB131" s="8">
        <v>21983.028738794426</v>
      </c>
      <c r="AC131" s="8">
        <v>10801.589575497275</v>
      </c>
      <c r="AD131" s="8">
        <v>11181.439163297151</v>
      </c>
      <c r="AE131" s="8"/>
    </row>
    <row r="132" spans="1:31" x14ac:dyDescent="0.4">
      <c r="A132" s="1"/>
      <c r="B132" s="8"/>
      <c r="C132" s="8"/>
      <c r="D132" s="1" t="s">
        <v>39</v>
      </c>
      <c r="E132" s="8">
        <v>4236.6830364307025</v>
      </c>
      <c r="F132" s="8">
        <v>8011.193912318945</v>
      </c>
      <c r="G132" s="13">
        <v>12247.876948749647</v>
      </c>
      <c r="H132" s="13"/>
      <c r="I132" s="13"/>
      <c r="J132" s="8"/>
      <c r="M132" s="1" t="s">
        <v>30</v>
      </c>
      <c r="N132" s="8">
        <v>26635.483346535901</v>
      </c>
      <c r="O132" s="8">
        <v>26105.552696128809</v>
      </c>
      <c r="P132" s="8">
        <v>529.93065040709246</v>
      </c>
      <c r="Q132" s="8"/>
      <c r="R132" s="1" t="s">
        <v>39</v>
      </c>
      <c r="S132" s="8">
        <v>454.53450155775226</v>
      </c>
      <c r="T132" s="8">
        <v>6134.3598177780514</v>
      </c>
      <c r="U132" s="8">
        <v>159.4482426888919</v>
      </c>
      <c r="V132" s="13">
        <v>824.85769993381712</v>
      </c>
      <c r="W132" s="13">
        <v>2895.7926480144338</v>
      </c>
      <c r="X132" s="13">
        <v>5052.1963205898046</v>
      </c>
      <c r="Y132" s="8"/>
      <c r="Z132" s="8"/>
      <c r="AA132" s="1" t="s">
        <v>39</v>
      </c>
      <c r="AB132" s="8">
        <v>15521.189230562752</v>
      </c>
      <c r="AC132" s="8">
        <v>6748.3425620246953</v>
      </c>
      <c r="AD132" s="8">
        <v>8772.8466685380554</v>
      </c>
      <c r="AE132" s="8"/>
    </row>
    <row r="133" spans="1:31" x14ac:dyDescent="0.4">
      <c r="A133" s="1"/>
      <c r="B133" s="8"/>
      <c r="C133" s="8"/>
      <c r="D133" s="1" t="s">
        <v>40</v>
      </c>
      <c r="E133" s="8">
        <v>3657.3590228639923</v>
      </c>
      <c r="F133" s="8">
        <v>8343.6061583301343</v>
      </c>
      <c r="G133" s="13">
        <v>12000.965181194126</v>
      </c>
      <c r="H133" s="13"/>
      <c r="I133" s="13"/>
      <c r="J133" s="8"/>
      <c r="M133" s="1" t="s">
        <v>31</v>
      </c>
      <c r="N133" s="8">
        <v>24401.415922234002</v>
      </c>
      <c r="O133" s="8">
        <v>23915.933528605685</v>
      </c>
      <c r="P133" s="8">
        <v>485.48239362831777</v>
      </c>
      <c r="Q133" s="8"/>
      <c r="R133" s="1" t="s">
        <v>40</v>
      </c>
      <c r="S133" s="8">
        <v>392.38145647916082</v>
      </c>
      <c r="T133" s="8">
        <v>5295.5474922538115</v>
      </c>
      <c r="U133" s="8">
        <v>137.64529091827538</v>
      </c>
      <c r="V133" s="13">
        <v>627.68791709743994</v>
      </c>
      <c r="W133" s="13">
        <v>2591.7943072224725</v>
      </c>
      <c r="X133" s="13">
        <v>3875.8419757715146</v>
      </c>
      <c r="Y133" s="8"/>
      <c r="Z133" s="8"/>
      <c r="AA133" s="1" t="s">
        <v>40</v>
      </c>
      <c r="AB133" s="8">
        <v>12920.898439742676</v>
      </c>
      <c r="AC133" s="8">
        <v>5825.5742396512478</v>
      </c>
      <c r="AD133" s="8">
        <v>7095.324200091427</v>
      </c>
      <c r="AE133" s="8"/>
    </row>
    <row r="134" spans="1:31" x14ac:dyDescent="0.4">
      <c r="A134" s="1"/>
      <c r="B134" s="8"/>
      <c r="C134" s="8"/>
      <c r="D134" s="1" t="s">
        <v>41</v>
      </c>
      <c r="E134" s="8">
        <v>3909.8464021803752</v>
      </c>
      <c r="F134" s="8">
        <v>7749.8383017393699</v>
      </c>
      <c r="G134" s="13">
        <v>11659.684703919746</v>
      </c>
      <c r="H134" s="13"/>
      <c r="I134" s="13"/>
      <c r="J134" s="8"/>
      <c r="M134" s="1" t="s">
        <v>32</v>
      </c>
      <c r="N134" s="8">
        <v>24938.024672621323</v>
      </c>
      <c r="O134" s="8">
        <v>24441.866091127096</v>
      </c>
      <c r="P134" s="8">
        <v>496.15858149422615</v>
      </c>
      <c r="Q134" s="8"/>
      <c r="R134" s="1" t="s">
        <v>41</v>
      </c>
      <c r="S134" s="8">
        <v>419.46968189521209</v>
      </c>
      <c r="T134" s="8">
        <v>5661.1279288491751</v>
      </c>
      <c r="U134" s="8">
        <v>147.14769376194855</v>
      </c>
      <c r="V134" s="13">
        <v>688.28596962054667</v>
      </c>
      <c r="W134" s="13">
        <v>2679.9630990643063</v>
      </c>
      <c r="X134" s="13">
        <v>4205.5094869128843</v>
      </c>
      <c r="Y134" s="8"/>
      <c r="Z134" s="8"/>
      <c r="AA134" s="1" t="s">
        <v>41</v>
      </c>
      <c r="AB134" s="8">
        <v>13801.503860104072</v>
      </c>
      <c r="AC134" s="8">
        <v>6227.7453045063357</v>
      </c>
      <c r="AD134" s="8">
        <v>7573.7585555977375</v>
      </c>
      <c r="AE134" s="8"/>
    </row>
    <row r="135" spans="1:31" x14ac:dyDescent="0.4">
      <c r="A135" s="1"/>
      <c r="B135" s="8"/>
      <c r="C135" s="8"/>
      <c r="D135" s="1" t="s">
        <v>42</v>
      </c>
      <c r="E135" s="8">
        <v>3756.3016523133156</v>
      </c>
      <c r="F135" s="8">
        <v>7997.2312966627978</v>
      </c>
      <c r="G135" s="13">
        <v>11753.532948976113</v>
      </c>
      <c r="H135" s="13"/>
      <c r="I135" s="13"/>
      <c r="J135" s="8"/>
      <c r="M135" s="1" t="s">
        <v>33</v>
      </c>
      <c r="N135" s="8">
        <v>26648.31124161118</v>
      </c>
      <c r="O135" s="8">
        <v>26118.125371702637</v>
      </c>
      <c r="P135" s="8">
        <v>530.18586990854294</v>
      </c>
      <c r="Q135" s="8"/>
      <c r="R135" s="1" t="s">
        <v>42</v>
      </c>
      <c r="S135" s="8">
        <v>402.99656229964489</v>
      </c>
      <c r="T135" s="8">
        <v>5438.8080772775547</v>
      </c>
      <c r="U135" s="8">
        <v>141.3690125790782</v>
      </c>
      <c r="V135" s="13">
        <v>676.52813853397356</v>
      </c>
      <c r="W135" s="13">
        <v>2788.3371356850876</v>
      </c>
      <c r="X135" s="13">
        <v>4188.395852650513</v>
      </c>
      <c r="Y135" s="8"/>
      <c r="Z135" s="8"/>
      <c r="AA135" s="1" t="s">
        <v>42</v>
      </c>
      <c r="AB135" s="8">
        <v>13636.434779025853</v>
      </c>
      <c r="AC135" s="8">
        <v>5983.173652156278</v>
      </c>
      <c r="AD135" s="8">
        <v>7653.2611268695746</v>
      </c>
      <c r="AE135" s="8"/>
    </row>
    <row r="136" spans="1:31" x14ac:dyDescent="0.4">
      <c r="A136" s="1"/>
      <c r="B136" s="8"/>
      <c r="C136" s="8"/>
      <c r="D136" s="1" t="s">
        <v>43</v>
      </c>
      <c r="E136" s="8">
        <v>21086.128207650523</v>
      </c>
      <c r="F136" s="8">
        <v>7454.8047652135883</v>
      </c>
      <c r="G136" s="13">
        <v>28540.93297286411</v>
      </c>
      <c r="H136" s="13"/>
      <c r="I136" s="13"/>
      <c r="J136" s="8"/>
      <c r="M136" s="1" t="s">
        <v>34</v>
      </c>
      <c r="N136" s="8">
        <v>28922.13022448937</v>
      </c>
      <c r="O136" s="8">
        <v>28346.70521411442</v>
      </c>
      <c r="P136" s="8">
        <v>575.42501037495197</v>
      </c>
      <c r="Q136" s="8"/>
      <c r="R136" s="1" t="s">
        <v>43</v>
      </c>
      <c r="S136" s="8">
        <v>2262.2350296759237</v>
      </c>
      <c r="T136" s="8">
        <v>30530.93575263107</v>
      </c>
      <c r="U136" s="8">
        <v>793.57980262197589</v>
      </c>
      <c r="V136" s="13">
        <v>672.00589580836868</v>
      </c>
      <c r="W136" s="13">
        <v>2666.1863795090908</v>
      </c>
      <c r="X136" s="13">
        <v>4128.947215478167</v>
      </c>
      <c r="Y136" s="8"/>
      <c r="Z136" s="8"/>
      <c r="AA136" s="1" t="s">
        <v>43</v>
      </c>
      <c r="AB136" s="8">
        <v>41053.890075724601</v>
      </c>
      <c r="AC136" s="8">
        <v>33586.750584928974</v>
      </c>
      <c r="AD136" s="8">
        <v>7467.1394907956264</v>
      </c>
      <c r="AE136" s="8"/>
    </row>
    <row r="137" spans="1:31" x14ac:dyDescent="0.4">
      <c r="A137" s="1"/>
      <c r="B137" s="8"/>
      <c r="C137" s="8"/>
      <c r="D137" s="1" t="s">
        <v>44</v>
      </c>
      <c r="E137" s="8">
        <v>23377.761610249141</v>
      </c>
      <c r="F137" s="8">
        <v>7518.8798180489775</v>
      </c>
      <c r="G137" s="13">
        <v>30896.64142829812</v>
      </c>
      <c r="H137" s="13"/>
      <c r="I137" s="13"/>
      <c r="J137" s="8"/>
      <c r="M137" s="1" t="s">
        <v>35</v>
      </c>
      <c r="N137" s="8">
        <v>33165.702328490501</v>
      </c>
      <c r="O137" s="8">
        <v>32505.848629667693</v>
      </c>
      <c r="P137" s="8">
        <v>659.8536988228069</v>
      </c>
      <c r="Q137" s="8"/>
      <c r="R137" s="1" t="s">
        <v>44</v>
      </c>
      <c r="S137" s="8">
        <v>2508.0939805217727</v>
      </c>
      <c r="T137" s="8">
        <v>33849.027698877348</v>
      </c>
      <c r="U137" s="8">
        <v>879.82579171049474</v>
      </c>
      <c r="V137" s="13">
        <v>668.38810162788479</v>
      </c>
      <c r="W137" s="13">
        <v>2460.459452948437</v>
      </c>
      <c r="X137" s="13">
        <v>3687.5897947983312</v>
      </c>
      <c r="Y137" s="8"/>
      <c r="Z137" s="8"/>
      <c r="AA137" s="1" t="s">
        <v>44</v>
      </c>
      <c r="AB137" s="8">
        <v>44053.384820484265</v>
      </c>
      <c r="AC137" s="8">
        <v>37236.947471109612</v>
      </c>
      <c r="AD137" s="8">
        <v>6816.4373493746534</v>
      </c>
      <c r="AE137" s="8"/>
    </row>
    <row r="138" spans="1:31" x14ac:dyDescent="0.4">
      <c r="A138" s="1"/>
      <c r="B138" s="8"/>
      <c r="C138" s="8"/>
      <c r="D138" s="1" t="s">
        <v>45</v>
      </c>
      <c r="E138" s="8">
        <v>6885.6964577584258</v>
      </c>
      <c r="F138" s="8">
        <v>7184.651736142845</v>
      </c>
      <c r="G138" s="13">
        <v>14070.348193901271</v>
      </c>
      <c r="H138" s="13"/>
      <c r="I138" s="13"/>
      <c r="J138" s="8"/>
      <c r="M138" s="1" t="s">
        <v>36</v>
      </c>
      <c r="N138" s="8">
        <v>35523.723017996526</v>
      </c>
      <c r="O138" s="8">
        <v>34816.954929770465</v>
      </c>
      <c r="P138" s="8">
        <v>706.76808822606233</v>
      </c>
      <c r="Q138" s="8"/>
      <c r="R138" s="1" t="s">
        <v>45</v>
      </c>
      <c r="S138" s="8">
        <v>738.73513321449025</v>
      </c>
      <c r="T138" s="8">
        <v>9969.9078983910749</v>
      </c>
      <c r="U138" s="8">
        <v>259.14428585709629</v>
      </c>
      <c r="V138" s="13">
        <v>592.41421490989819</v>
      </c>
      <c r="W138" s="13">
        <v>2557.8123428883096</v>
      </c>
      <c r="X138" s="13">
        <v>3378.6384982788977</v>
      </c>
      <c r="Y138" s="8"/>
      <c r="Z138" s="8"/>
      <c r="AA138" s="1" t="s">
        <v>45</v>
      </c>
      <c r="AB138" s="8">
        <v>17496.652373539768</v>
      </c>
      <c r="AC138" s="8">
        <v>10967.787317462662</v>
      </c>
      <c r="AD138" s="8">
        <v>6528.8650560771057</v>
      </c>
      <c r="AE138" s="8"/>
    </row>
    <row r="139" spans="1:31" x14ac:dyDescent="0.4">
      <c r="A139" s="1"/>
      <c r="B139" s="8"/>
      <c r="C139" s="8"/>
      <c r="D139" s="1" t="s">
        <v>46</v>
      </c>
      <c r="E139" s="8">
        <v>6968.4274658581999</v>
      </c>
      <c r="F139" s="8">
        <v>6986.2668733792216</v>
      </c>
      <c r="G139" s="13">
        <v>13954.694339237421</v>
      </c>
      <c r="H139" s="13"/>
      <c r="I139" s="13"/>
      <c r="J139" s="8"/>
      <c r="M139" s="1" t="s">
        <v>37</v>
      </c>
      <c r="N139" s="8">
        <v>44220.215490395887</v>
      </c>
      <c r="O139" s="8">
        <v>43340.424902363819</v>
      </c>
      <c r="P139" s="8">
        <v>879.79058803207192</v>
      </c>
      <c r="Q139" s="8"/>
      <c r="R139" s="1" t="s">
        <v>46</v>
      </c>
      <c r="S139" s="8">
        <v>747.61096773093834</v>
      </c>
      <c r="T139" s="8">
        <v>10089.69542259517</v>
      </c>
      <c r="U139" s="8">
        <v>262.25788055935726</v>
      </c>
      <c r="V139" s="13">
        <v>747.97957359853228</v>
      </c>
      <c r="W139" s="13">
        <v>2685.4734816020414</v>
      </c>
      <c r="X139" s="13">
        <v>3379.5399699014506</v>
      </c>
      <c r="Y139" s="8"/>
      <c r="Z139" s="8"/>
      <c r="AA139" s="1" t="s">
        <v>46</v>
      </c>
      <c r="AB139" s="8">
        <v>17912.557295987488</v>
      </c>
      <c r="AC139" s="8">
        <v>11099.564270885465</v>
      </c>
      <c r="AD139" s="8">
        <v>6812.9930251020241</v>
      </c>
      <c r="AE139" s="8"/>
    </row>
    <row r="140" spans="1:31" x14ac:dyDescent="0.4">
      <c r="A140" s="1"/>
      <c r="B140" s="8"/>
      <c r="C140" s="8"/>
      <c r="D140" s="1" t="s">
        <v>47</v>
      </c>
      <c r="E140" s="8">
        <v>7121.97221572526</v>
      </c>
      <c r="F140" s="8">
        <v>6771.6386113208246</v>
      </c>
      <c r="G140" s="13">
        <v>13893.610827046085</v>
      </c>
      <c r="H140" s="13"/>
      <c r="I140" s="13"/>
      <c r="J140" s="8"/>
      <c r="M140" s="1" t="s">
        <v>38</v>
      </c>
      <c r="N140" s="8">
        <v>29325.46311150739</v>
      </c>
      <c r="O140" s="8">
        <v>28742.013525179857</v>
      </c>
      <c r="P140" s="8">
        <v>583.44958632753458</v>
      </c>
      <c r="Q140" s="8"/>
      <c r="R140" s="1" t="s">
        <v>47</v>
      </c>
      <c r="S140" s="8">
        <v>764.0840873265056</v>
      </c>
      <c r="T140" s="8">
        <v>10312.015274166792</v>
      </c>
      <c r="U140" s="8">
        <v>268.0365617422276</v>
      </c>
      <c r="V140" s="13">
        <v>775.11302995216215</v>
      </c>
      <c r="W140" s="13">
        <v>2573.4257294209569</v>
      </c>
      <c r="X140" s="13">
        <v>3765.9528053910576</v>
      </c>
      <c r="Y140" s="8"/>
      <c r="Z140" s="8"/>
      <c r="AA140" s="1" t="s">
        <v>47</v>
      </c>
      <c r="AB140" s="8">
        <v>18458.6274879997</v>
      </c>
      <c r="AC140" s="8">
        <v>11344.135923235524</v>
      </c>
      <c r="AD140" s="8">
        <v>7114.4915647641774</v>
      </c>
      <c r="AE140" s="8"/>
    </row>
    <row r="141" spans="1:31" x14ac:dyDescent="0.4">
      <c r="A141" s="1"/>
      <c r="B141" s="8"/>
      <c r="C141" s="8"/>
      <c r="D141" s="1" t="s">
        <v>48</v>
      </c>
      <c r="E141" s="8">
        <v>7357.6960887099804</v>
      </c>
      <c r="F141" s="8">
        <v>6963.0308722644368</v>
      </c>
      <c r="G141" s="13">
        <v>14320.726960974418</v>
      </c>
      <c r="H141" s="13"/>
      <c r="I141" s="13"/>
      <c r="J141" s="8"/>
      <c r="M141" s="1" t="s">
        <v>39</v>
      </c>
      <c r="N141" s="8">
        <v>18321.217398908604</v>
      </c>
      <c r="O141" s="8">
        <v>17956.704597464883</v>
      </c>
      <c r="P141" s="8">
        <v>364.51280144372089</v>
      </c>
      <c r="Q141" s="8"/>
      <c r="R141" s="1" t="s">
        <v>48</v>
      </c>
      <c r="S141" s="8">
        <v>789.3738322026386</v>
      </c>
      <c r="T141" s="8">
        <v>10653.323567020987</v>
      </c>
      <c r="U141" s="8">
        <v>276.90806734791914</v>
      </c>
      <c r="V141" s="13">
        <v>777.82637558752526</v>
      </c>
      <c r="W141" s="13">
        <v>2530.2596669887557</v>
      </c>
      <c r="X141" s="13">
        <v>3334.502756210914</v>
      </c>
      <c r="Y141" s="8"/>
      <c r="Z141" s="8"/>
      <c r="AA141" s="1" t="s">
        <v>48</v>
      </c>
      <c r="AB141" s="8">
        <v>18362.194265358739</v>
      </c>
      <c r="AC141" s="8">
        <v>11719.605466571544</v>
      </c>
      <c r="AD141" s="8">
        <v>6642.5887987871956</v>
      </c>
      <c r="AE141" s="8"/>
    </row>
    <row r="142" spans="1:31" x14ac:dyDescent="0.4">
      <c r="A142" s="1"/>
      <c r="B142" s="8"/>
      <c r="C142" s="8"/>
      <c r="D142" s="1" t="s">
        <v>49</v>
      </c>
      <c r="E142" s="8">
        <v>7009.7843467052417</v>
      </c>
      <c r="F142" s="8">
        <v>6444.1343171435365</v>
      </c>
      <c r="G142" s="13">
        <v>13453.918663848777</v>
      </c>
      <c r="H142" s="13"/>
      <c r="I142" s="13"/>
      <c r="J142" s="8"/>
      <c r="M142" s="1" t="s">
        <v>40</v>
      </c>
      <c r="N142" s="8">
        <v>15815.974239178171</v>
      </c>
      <c r="O142" s="8">
        <v>15501.304916067143</v>
      </c>
      <c r="P142" s="8">
        <v>314.66932311102784</v>
      </c>
      <c r="Q142" s="8"/>
      <c r="R142" s="1" t="s">
        <v>49</v>
      </c>
      <c r="S142" s="8">
        <v>752.04795984485156</v>
      </c>
      <c r="T142" s="8">
        <v>10149.576699026569</v>
      </c>
      <c r="U142" s="8">
        <v>263.81435337487147</v>
      </c>
      <c r="V142" s="13">
        <v>785.06196394849314</v>
      </c>
      <c r="W142" s="13">
        <v>2382.3932834960765</v>
      </c>
      <c r="X142" s="13">
        <v>3923.5802981990637</v>
      </c>
      <c r="Y142" s="8"/>
      <c r="Z142" s="8"/>
      <c r="AA142" s="1" t="s">
        <v>49</v>
      </c>
      <c r="AB142" s="8">
        <v>18256.474557889924</v>
      </c>
      <c r="AC142" s="8">
        <v>11165.439012246292</v>
      </c>
      <c r="AD142" s="8">
        <v>7091.0355456436337</v>
      </c>
      <c r="AE142" s="8"/>
    </row>
    <row r="143" spans="1:31" x14ac:dyDescent="0.4">
      <c r="A143" s="1"/>
      <c r="B143" s="8"/>
      <c r="C143" s="8"/>
      <c r="D143" s="1" t="s">
        <v>50</v>
      </c>
      <c r="E143" s="8">
        <v>7347.1585348327735</v>
      </c>
      <c r="F143" s="8">
        <v>6384.8062536229436</v>
      </c>
      <c r="G143" s="13">
        <v>13731.964788455716</v>
      </c>
      <c r="H143" s="13"/>
      <c r="I143" s="13"/>
      <c r="J143" s="8"/>
      <c r="M143" s="1" t="s">
        <v>41</v>
      </c>
      <c r="N143" s="8">
        <v>16907.836936283155</v>
      </c>
      <c r="O143" s="8">
        <v>16571.444278862622</v>
      </c>
      <c r="P143" s="8">
        <v>336.39265742053414</v>
      </c>
      <c r="Q143" s="8"/>
      <c r="R143" s="1" t="s">
        <v>50</v>
      </c>
      <c r="S143" s="8">
        <v>788.24330585501514</v>
      </c>
      <c r="T143" s="8">
        <v>10638.066077488216</v>
      </c>
      <c r="U143" s="8">
        <v>276.51148482486701</v>
      </c>
      <c r="V143" s="13">
        <v>794.10644939970325</v>
      </c>
      <c r="W143" s="13">
        <v>2475.1543151896494</v>
      </c>
      <c r="X143" s="13">
        <v>3443.4915570123671</v>
      </c>
      <c r="Y143" s="8"/>
      <c r="Z143" s="8"/>
      <c r="AA143" s="1" t="s">
        <v>50</v>
      </c>
      <c r="AB143" s="8">
        <v>18415.573189769821</v>
      </c>
      <c r="AC143" s="8">
        <v>11702.820868168099</v>
      </c>
      <c r="AD143" s="8">
        <v>6712.7523216017198</v>
      </c>
      <c r="AE143" s="8"/>
    </row>
    <row r="144" spans="1:31" x14ac:dyDescent="0.4">
      <c r="A144" s="1"/>
      <c r="B144" s="8"/>
      <c r="C144" s="8"/>
      <c r="D144" s="1" t="s">
        <v>51</v>
      </c>
      <c r="E144" s="8">
        <v>6597.2503225762866</v>
      </c>
      <c r="F144" s="8">
        <v>6509.8862260025326</v>
      </c>
      <c r="G144" s="13">
        <v>13107.136548578819</v>
      </c>
      <c r="H144" s="13"/>
      <c r="I144" s="13"/>
      <c r="J144" s="8"/>
      <c r="M144" s="1" t="s">
        <v>42</v>
      </c>
      <c r="N144" s="8">
        <v>16243.844204566924</v>
      </c>
      <c r="O144" s="8">
        <v>15920.662124015073</v>
      </c>
      <c r="P144" s="8">
        <v>323.18208055185016</v>
      </c>
      <c r="Q144" s="8"/>
      <c r="R144" s="1" t="s">
        <v>51</v>
      </c>
      <c r="S144" s="8">
        <v>707.78905602299722</v>
      </c>
      <c r="T144" s="8">
        <v>9552.2622151904288</v>
      </c>
      <c r="U144" s="8">
        <v>248.28856949367866</v>
      </c>
      <c r="V144" s="13">
        <v>815.81321448260712</v>
      </c>
      <c r="W144" s="13">
        <v>2426.4778702197127</v>
      </c>
      <c r="X144" s="13">
        <v>3327.2975954917838</v>
      </c>
      <c r="Y144" s="8"/>
      <c r="Z144" s="8"/>
      <c r="AA144" s="1" t="s">
        <v>51</v>
      </c>
      <c r="AB144" s="8">
        <v>17077.928520901209</v>
      </c>
      <c r="AC144" s="8">
        <v>10508.339840707105</v>
      </c>
      <c r="AD144" s="8">
        <v>6569.5886801941033</v>
      </c>
      <c r="AE144" s="8"/>
    </row>
    <row r="145" spans="1:31" x14ac:dyDescent="0.4">
      <c r="A145" s="1"/>
      <c r="B145" s="8"/>
      <c r="C145" s="8"/>
      <c r="D145" s="1" t="s">
        <v>52</v>
      </c>
      <c r="E145" s="8">
        <v>5648.370327862619</v>
      </c>
      <c r="F145" s="8">
        <v>6027.9320092188009</v>
      </c>
      <c r="G145" s="13">
        <v>11676.302337081419</v>
      </c>
      <c r="H145" s="13"/>
      <c r="I145" s="13"/>
      <c r="J145" s="8"/>
      <c r="M145" s="1" t="s">
        <v>43</v>
      </c>
      <c r="N145" s="8">
        <v>91185.376784545122</v>
      </c>
      <c r="O145" s="8">
        <v>89371.183086673511</v>
      </c>
      <c r="P145" s="8">
        <v>1814.1936978716151</v>
      </c>
      <c r="Q145" s="8"/>
      <c r="R145" s="1" t="s">
        <v>52</v>
      </c>
      <c r="S145" s="8">
        <v>605.98802636686855</v>
      </c>
      <c r="T145" s="8">
        <v>8178.3639883434134</v>
      </c>
      <c r="U145" s="8">
        <v>212.57731935323781</v>
      </c>
      <c r="V145" s="13">
        <v>656.6302705413118</v>
      </c>
      <c r="W145" s="13">
        <v>2338.3090783778789</v>
      </c>
      <c r="X145" s="13">
        <v>2782.3557955716183</v>
      </c>
      <c r="Y145" s="8"/>
      <c r="Z145" s="8"/>
      <c r="AA145" s="1" t="s">
        <v>52</v>
      </c>
      <c r="AB145" s="8">
        <v>14774.22447855433</v>
      </c>
      <c r="AC145" s="8">
        <v>8996.9293340635213</v>
      </c>
      <c r="AD145" s="8">
        <v>5777.2951444908085</v>
      </c>
      <c r="AE145" s="8"/>
    </row>
    <row r="146" spans="1:31" x14ac:dyDescent="0.4">
      <c r="A146" s="1"/>
      <c r="B146" s="8"/>
      <c r="C146" s="8"/>
      <c r="D146" s="1" t="s">
        <v>53</v>
      </c>
      <c r="E146" s="8">
        <v>4838.4446238014161</v>
      </c>
      <c r="F146" s="8">
        <v>5667.228433023186</v>
      </c>
      <c r="G146" s="13">
        <v>10505.673056824602</v>
      </c>
      <c r="H146" s="13"/>
      <c r="I146" s="13"/>
      <c r="J146" s="8"/>
      <c r="M146" s="1" t="s">
        <v>44</v>
      </c>
      <c r="N146" s="8">
        <v>101095.37321490864</v>
      </c>
      <c r="O146" s="8">
        <v>99084.013549160663</v>
      </c>
      <c r="P146" s="8">
        <v>2011.3596657479779</v>
      </c>
      <c r="Q146" s="8"/>
      <c r="R146" s="1" t="s">
        <v>53</v>
      </c>
      <c r="S146" s="8">
        <v>519.09477213267451</v>
      </c>
      <c r="T146" s="8">
        <v>7005.6598583303348</v>
      </c>
      <c r="U146" s="8">
        <v>182.09563613297965</v>
      </c>
      <c r="V146" s="13">
        <v>622.26101689889106</v>
      </c>
      <c r="W146" s="13">
        <v>2136.2554857720893</v>
      </c>
      <c r="X146" s="13">
        <v>2606.713196878688</v>
      </c>
      <c r="Y146" s="8"/>
      <c r="Z146" s="8"/>
      <c r="AA146" s="1" t="s">
        <v>53</v>
      </c>
      <c r="AB146" s="8">
        <v>13072.079966145659</v>
      </c>
      <c r="AC146" s="8">
        <v>7706.8502665959895</v>
      </c>
      <c r="AD146" s="8">
        <v>5365.2296995496681</v>
      </c>
      <c r="AE146" s="8"/>
    </row>
    <row r="147" spans="1:31" x14ac:dyDescent="0.4">
      <c r="A147" s="1"/>
      <c r="B147" s="8"/>
      <c r="C147" s="8"/>
      <c r="D147" s="1" t="s">
        <v>54</v>
      </c>
      <c r="E147" s="8">
        <v>4991.7306775831112</v>
      </c>
      <c r="F147" s="8">
        <v>6214.5800988146057</v>
      </c>
      <c r="G147" s="13">
        <v>11206.310776397717</v>
      </c>
      <c r="H147" s="13"/>
      <c r="I147" s="13"/>
      <c r="J147" s="8"/>
      <c r="M147" s="1" t="s">
        <v>45</v>
      </c>
      <c r="N147" s="8">
        <v>29776.67686270173</v>
      </c>
      <c r="O147" s="8">
        <v>29184.250078794106</v>
      </c>
      <c r="P147" s="8">
        <v>592.42678390762421</v>
      </c>
      <c r="Q147" s="8"/>
      <c r="R147" s="1" t="s">
        <v>54</v>
      </c>
      <c r="S147" s="8">
        <v>535.54013739892196</v>
      </c>
      <c r="T147" s="8">
        <v>7227.6051397824913</v>
      </c>
      <c r="U147" s="8">
        <v>187.86458124736262</v>
      </c>
      <c r="V147" s="13">
        <v>628.59236564256094</v>
      </c>
      <c r="W147" s="13">
        <v>2287.7955848250717</v>
      </c>
      <c r="X147" s="13">
        <v>2749.9292662048833</v>
      </c>
      <c r="Y147" s="8"/>
      <c r="Z147" s="8"/>
      <c r="AA147" s="1" t="s">
        <v>54</v>
      </c>
      <c r="AB147" s="8">
        <v>13617.327075101291</v>
      </c>
      <c r="AC147" s="8">
        <v>7951.0098584287753</v>
      </c>
      <c r="AD147" s="8">
        <v>5666.3172166725162</v>
      </c>
      <c r="AE147" s="8"/>
    </row>
    <row r="148" spans="1:31" x14ac:dyDescent="0.4">
      <c r="A148" s="1"/>
      <c r="B148" s="8"/>
      <c r="C148" s="8"/>
      <c r="D148" s="1" t="s">
        <v>55</v>
      </c>
      <c r="E148" s="8">
        <v>9448.7365467164655</v>
      </c>
      <c r="F148" s="8">
        <v>6308.9371470244387</v>
      </c>
      <c r="G148" s="13">
        <v>15757.673693740904</v>
      </c>
      <c r="H148" s="13"/>
      <c r="I148" s="13"/>
      <c r="J148" s="8"/>
      <c r="M148" s="1" t="s">
        <v>46</v>
      </c>
      <c r="N148" s="8">
        <v>30134.440889888385</v>
      </c>
      <c r="O148" s="8">
        <v>29534.896152792051</v>
      </c>
      <c r="P148" s="8">
        <v>599.54473709633339</v>
      </c>
      <c r="Q148" s="8"/>
      <c r="R148" s="1" t="s">
        <v>55</v>
      </c>
      <c r="S148" s="8">
        <v>1013.7120760939732</v>
      </c>
      <c r="T148" s="8">
        <v>13680.973842636075</v>
      </c>
      <c r="U148" s="8">
        <v>355.60470893133134</v>
      </c>
      <c r="V148" s="13">
        <v>709.99273470345054</v>
      </c>
      <c r="W148" s="13">
        <v>2510.0544222098088</v>
      </c>
      <c r="X148" s="13">
        <v>2334.6924817081076</v>
      </c>
      <c r="Y148" s="8"/>
      <c r="Z148" s="8"/>
      <c r="AA148" s="1" t="s">
        <v>55</v>
      </c>
      <c r="AB148" s="8">
        <v>20605.030266282745</v>
      </c>
      <c r="AC148" s="8">
        <v>15050.290627661378</v>
      </c>
      <c r="AD148" s="8">
        <v>5554.7396386213668</v>
      </c>
      <c r="AE148" s="8"/>
    </row>
    <row r="149" spans="1:31" x14ac:dyDescent="0.4">
      <c r="A149" s="1"/>
      <c r="B149" s="8"/>
      <c r="C149" s="8"/>
      <c r="D149" s="1" t="s">
        <v>56</v>
      </c>
      <c r="E149" s="8">
        <v>68090.103148533497</v>
      </c>
      <c r="F149" s="8">
        <v>6236.3414549691061</v>
      </c>
      <c r="G149" s="13">
        <v>74326.444603502605</v>
      </c>
      <c r="H149" s="13"/>
      <c r="I149" s="13"/>
      <c r="J149" s="8"/>
      <c r="M149" s="1" t="s">
        <v>47</v>
      </c>
      <c r="N149" s="8">
        <v>30798.433621604621</v>
      </c>
      <c r="O149" s="8">
        <v>30185.678307639602</v>
      </c>
      <c r="P149" s="8">
        <v>612.75531396501754</v>
      </c>
      <c r="Q149" s="8"/>
      <c r="R149" s="1" t="s">
        <v>56</v>
      </c>
      <c r="S149" s="8">
        <v>7305.0782485981326</v>
      </c>
      <c r="T149" s="8">
        <v>98588.728293117529</v>
      </c>
      <c r="U149" s="8">
        <v>2562.5819062182354</v>
      </c>
      <c r="V149" s="13">
        <v>746.1706765082904</v>
      </c>
      <c r="W149" s="13">
        <v>2166.56335294051</v>
      </c>
      <c r="X149" s="13">
        <v>2152.7450918750505</v>
      </c>
      <c r="Y149" s="8"/>
      <c r="Z149" s="8"/>
      <c r="AA149" s="1" t="s">
        <v>56</v>
      </c>
      <c r="AB149" s="8">
        <v>113521.86756925775</v>
      </c>
      <c r="AC149" s="8">
        <v>108456.3884479339</v>
      </c>
      <c r="AD149" s="8">
        <v>5065.4791213238514</v>
      </c>
      <c r="AE149" s="8"/>
    </row>
    <row r="150" spans="1:31" x14ac:dyDescent="0.4">
      <c r="A150" s="1"/>
      <c r="B150" s="8"/>
      <c r="C150" s="8"/>
      <c r="D150" s="1" t="s">
        <v>57</v>
      </c>
      <c r="E150" s="8">
        <v>53359.275438020086</v>
      </c>
      <c r="F150" s="8">
        <v>6196.5269679577177</v>
      </c>
      <c r="G150" s="13">
        <v>59555.802405977804</v>
      </c>
      <c r="H150" s="13"/>
      <c r="I150" s="13"/>
      <c r="J150" s="8"/>
      <c r="M150" s="1" t="s">
        <v>48</v>
      </c>
      <c r="N150" s="8">
        <v>31817.803795377218</v>
      </c>
      <c r="O150" s="8">
        <v>31184.767434052752</v>
      </c>
      <c r="P150" s="8">
        <v>633.03636132446627</v>
      </c>
      <c r="Q150" s="8"/>
      <c r="R150" s="1" t="s">
        <v>57</v>
      </c>
      <c r="S150" s="8">
        <v>5724.6745758767784</v>
      </c>
      <c r="T150" s="8">
        <v>77259.731808614291</v>
      </c>
      <c r="U150" s="8">
        <v>2008.1848527693173</v>
      </c>
      <c r="V150" s="13">
        <v>718.13277160953953</v>
      </c>
      <c r="W150" s="13">
        <v>2191.360837571196</v>
      </c>
      <c r="X150" s="13">
        <v>2409.4529119412682</v>
      </c>
      <c r="Y150" s="8"/>
      <c r="Z150" s="8"/>
      <c r="AA150" s="1" t="s">
        <v>57</v>
      </c>
      <c r="AB150" s="8">
        <v>90311.537758382401</v>
      </c>
      <c r="AC150" s="8">
        <v>84992.591237260393</v>
      </c>
      <c r="AD150" s="8">
        <v>5318.946521122004</v>
      </c>
      <c r="AE150" s="8"/>
    </row>
    <row r="151" spans="1:31" x14ac:dyDescent="0.4">
      <c r="A151" s="1"/>
      <c r="B151" s="8"/>
      <c r="C151" s="8"/>
      <c r="D151" s="1" t="s">
        <v>58</v>
      </c>
      <c r="E151" s="8">
        <v>28039.965214294134</v>
      </c>
      <c r="F151" s="8">
        <v>6022.2070466593595</v>
      </c>
      <c r="G151" s="13">
        <v>34062.172260953492</v>
      </c>
      <c r="H151" s="13"/>
      <c r="I151" s="13"/>
      <c r="J151" s="8"/>
      <c r="M151" s="1" t="s">
        <v>49</v>
      </c>
      <c r="N151" s="8">
        <v>30313.28561308905</v>
      </c>
      <c r="O151" s="8">
        <v>29710.182641315518</v>
      </c>
      <c r="P151" s="8">
        <v>603.10297177353254</v>
      </c>
      <c r="Q151" s="8"/>
      <c r="R151" s="1" t="s">
        <v>58</v>
      </c>
      <c r="S151" s="8">
        <v>3008.2806532332293</v>
      </c>
      <c r="T151" s="8">
        <v>40599.50542048856</v>
      </c>
      <c r="U151" s="8">
        <v>1055.2885689186453</v>
      </c>
      <c r="V151" s="13">
        <v>695.52155798151455</v>
      </c>
      <c r="W151" s="13">
        <v>1963.5916176487237</v>
      </c>
      <c r="X151" s="13">
        <v>2105.9071390265058</v>
      </c>
      <c r="Y151" s="8"/>
      <c r="Z151" s="8"/>
      <c r="AA151" s="1" t="s">
        <v>58</v>
      </c>
      <c r="AB151" s="8">
        <v>49428.09495729718</v>
      </c>
      <c r="AC151" s="8">
        <v>44663.074642640437</v>
      </c>
      <c r="AD151" s="8">
        <v>4765.0203146567437</v>
      </c>
      <c r="AE151" s="8"/>
    </row>
    <row r="152" spans="1:31" x14ac:dyDescent="0.4">
      <c r="A152" s="1"/>
      <c r="B152" s="8"/>
      <c r="C152" s="8"/>
      <c r="D152" s="1" t="s">
        <v>59</v>
      </c>
      <c r="E152" s="8">
        <v>22761.392317258149</v>
      </c>
      <c r="F152" s="8">
        <v>6391.227342518594</v>
      </c>
      <c r="G152" s="13">
        <v>29152.619659776741</v>
      </c>
      <c r="H152" s="13"/>
      <c r="I152" s="13"/>
      <c r="J152" s="8"/>
      <c r="M152" s="1" t="s">
        <v>50</v>
      </c>
      <c r="N152" s="8">
        <v>31772.234935545861</v>
      </c>
      <c r="O152" s="8">
        <v>31140.105196985267</v>
      </c>
      <c r="P152" s="8">
        <v>632.12973856059273</v>
      </c>
      <c r="Q152" s="8"/>
      <c r="R152" s="1" t="s">
        <v>59</v>
      </c>
      <c r="S152" s="8">
        <v>2441.9665154845966</v>
      </c>
      <c r="T152" s="8">
        <v>32956.576932246091</v>
      </c>
      <c r="U152" s="8">
        <v>856.62863493248688</v>
      </c>
      <c r="V152" s="13">
        <v>726.2728085156283</v>
      </c>
      <c r="W152" s="13">
        <v>2117.8869079705742</v>
      </c>
      <c r="X152" s="13">
        <v>1948.2796462184999</v>
      </c>
      <c r="Y152" s="8"/>
      <c r="Z152" s="8"/>
      <c r="AA152" s="1" t="s">
        <v>59</v>
      </c>
      <c r="AB152" s="8">
        <v>41047.611445367875</v>
      </c>
      <c r="AC152" s="8">
        <v>36255.172082663172</v>
      </c>
      <c r="AD152" s="8">
        <v>4792.439362704702</v>
      </c>
      <c r="AE152" s="8"/>
    </row>
    <row r="153" spans="1:31" x14ac:dyDescent="0.4">
      <c r="A153" s="1"/>
      <c r="B153" s="8"/>
      <c r="C153" s="8"/>
      <c r="D153" s="1" t="s">
        <v>60</v>
      </c>
      <c r="E153" s="8">
        <v>17061.644946842007</v>
      </c>
      <c r="F153" s="8">
        <v>6427.9179758493447</v>
      </c>
      <c r="G153" s="13">
        <v>23489.562922691352</v>
      </c>
      <c r="H153" s="13"/>
      <c r="I153" s="13"/>
      <c r="J153" s="8"/>
      <c r="M153" s="1" t="s">
        <v>51</v>
      </c>
      <c r="N153" s="8">
        <v>28529.31322820167</v>
      </c>
      <c r="O153" s="8">
        <v>27961.703573141484</v>
      </c>
      <c r="P153" s="8">
        <v>567.60965506018624</v>
      </c>
      <c r="Q153" s="8"/>
      <c r="R153" s="1" t="s">
        <v>60</v>
      </c>
      <c r="S153" s="8">
        <v>1830.4664793148308</v>
      </c>
      <c r="T153" s="8">
        <v>24703.82331817743</v>
      </c>
      <c r="U153" s="8">
        <v>642.11773237765738</v>
      </c>
      <c r="V153" s="13">
        <v>733.50839687659652</v>
      </c>
      <c r="W153" s="13">
        <v>1991.1442935482773</v>
      </c>
      <c r="X153" s="13">
        <v>1704.1814084325356</v>
      </c>
      <c r="Y153" s="8"/>
      <c r="Z153" s="8"/>
      <c r="AA153" s="1" t="s">
        <v>60</v>
      </c>
      <c r="AB153" s="8">
        <v>31605.241628727326</v>
      </c>
      <c r="AC153" s="8">
        <v>27176.407529869917</v>
      </c>
      <c r="AD153" s="8">
        <v>4428.8340988574091</v>
      </c>
      <c r="AE153" s="8"/>
    </row>
    <row r="154" spans="1:31" x14ac:dyDescent="0.4">
      <c r="A154" s="1"/>
      <c r="B154" s="8"/>
      <c r="C154" s="8"/>
      <c r="D154" s="1" t="s">
        <v>61</v>
      </c>
      <c r="E154" s="8">
        <v>11480.035455409288</v>
      </c>
      <c r="F154" s="8">
        <v>6399.9477041872142</v>
      </c>
      <c r="G154" s="13">
        <v>17879.983159596501</v>
      </c>
      <c r="H154" s="13"/>
      <c r="I154" s="13"/>
      <c r="J154" s="8"/>
      <c r="M154" s="1" t="s">
        <v>52</v>
      </c>
      <c r="N154" s="8">
        <v>24425.953000604735</v>
      </c>
      <c r="O154" s="8">
        <v>23939.982425488179</v>
      </c>
      <c r="P154" s="8">
        <v>485.97057511655743</v>
      </c>
      <c r="Q154" s="8"/>
      <c r="R154" s="1" t="s">
        <v>61</v>
      </c>
      <c r="S154" s="8">
        <v>1231.6409202010727</v>
      </c>
      <c r="T154" s="8">
        <v>16622.123391996629</v>
      </c>
      <c r="U154" s="8">
        <v>432.05296776539353</v>
      </c>
      <c r="V154" s="13">
        <v>665.67475599252168</v>
      </c>
      <c r="W154" s="13">
        <v>1961.7549506712919</v>
      </c>
      <c r="X154" s="13">
        <v>1884.3269570640352</v>
      </c>
      <c r="Y154" s="8"/>
      <c r="Z154" s="8"/>
      <c r="AA154" s="1" t="s">
        <v>61</v>
      </c>
      <c r="AB154" s="8">
        <v>22797.573943690943</v>
      </c>
      <c r="AC154" s="8">
        <v>18285.817279963096</v>
      </c>
      <c r="AD154" s="8">
        <v>4511.7566637278487</v>
      </c>
      <c r="AE154" s="8"/>
    </row>
    <row r="155" spans="1:31" x14ac:dyDescent="0.4">
      <c r="A155" s="1"/>
      <c r="B155" s="8"/>
      <c r="C155" s="8"/>
      <c r="D155" s="1" t="s">
        <v>62</v>
      </c>
      <c r="E155" s="8">
        <v>23791.85</v>
      </c>
      <c r="F155" s="8">
        <v>6232.7568058099969</v>
      </c>
      <c r="G155" s="13">
        <v>30024.606805809995</v>
      </c>
      <c r="H155" s="13"/>
      <c r="I155" s="13"/>
      <c r="J155" s="8"/>
      <c r="M155" s="1" t="s">
        <v>53</v>
      </c>
      <c r="N155" s="8">
        <v>20923.490160342153</v>
      </c>
      <c r="O155" s="8">
        <v>20507.203412127441</v>
      </c>
      <c r="P155" s="8">
        <v>416.28674821471088</v>
      </c>
      <c r="Q155" s="8"/>
      <c r="R155" s="1" t="s">
        <v>62</v>
      </c>
      <c r="S155" s="8">
        <v>1456.88</v>
      </c>
      <c r="T155" s="8">
        <v>2941.98</v>
      </c>
      <c r="U155" s="8">
        <v>848.83</v>
      </c>
      <c r="V155" s="13">
        <v>721.75056579002353</v>
      </c>
      <c r="W155" s="13">
        <v>1902.9755017064435</v>
      </c>
      <c r="X155" s="13">
        <v>1719.4932014933502</v>
      </c>
      <c r="Y155" s="8"/>
      <c r="Z155" s="8"/>
      <c r="AA155" s="1" t="s">
        <v>62</v>
      </c>
      <c r="AB155" s="8">
        <v>9591.9092689898171</v>
      </c>
      <c r="AC155" s="8">
        <v>5247.6900000000005</v>
      </c>
      <c r="AD155" s="8">
        <v>4344.2192689898175</v>
      </c>
      <c r="AE155" s="8"/>
    </row>
    <row r="156" spans="1:31" x14ac:dyDescent="0.4">
      <c r="A156" s="1"/>
      <c r="B156" s="8"/>
      <c r="C156" s="8"/>
      <c r="D156" s="1" t="s">
        <v>63</v>
      </c>
      <c r="E156" s="8">
        <v>26908.6</v>
      </c>
      <c r="F156" s="8">
        <v>6617.5075675957778</v>
      </c>
      <c r="G156" s="13">
        <v>33526.107567595776</v>
      </c>
      <c r="H156" s="13"/>
      <c r="I156" s="13"/>
      <c r="J156" s="8"/>
      <c r="M156" s="1" t="s">
        <v>54</v>
      </c>
      <c r="N156" s="8">
        <v>21586.364180278561</v>
      </c>
      <c r="O156" s="8">
        <v>21156.889112709829</v>
      </c>
      <c r="P156" s="8">
        <v>429.47506756873344</v>
      </c>
      <c r="Q156" s="8"/>
      <c r="R156" s="1" t="s">
        <v>63</v>
      </c>
      <c r="S156" s="8">
        <v>1971.13</v>
      </c>
      <c r="T156" s="8">
        <v>2955.18</v>
      </c>
      <c r="U156" s="8">
        <v>934.58</v>
      </c>
      <c r="V156" s="13">
        <v>789.58420667409825</v>
      </c>
      <c r="W156" s="13">
        <v>1974.6127643296334</v>
      </c>
      <c r="X156" s="13">
        <v>1839.2908454170474</v>
      </c>
      <c r="Y156" s="8"/>
      <c r="Z156" s="8"/>
      <c r="AA156" s="1" t="s">
        <v>63</v>
      </c>
      <c r="AB156" s="8">
        <v>10464.377816420778</v>
      </c>
      <c r="AC156" s="8">
        <v>5860.8899999999994</v>
      </c>
      <c r="AD156" s="8">
        <v>4603.4878164207785</v>
      </c>
      <c r="AE156" s="8"/>
    </row>
    <row r="157" spans="1:31" x14ac:dyDescent="0.4">
      <c r="A157" s="1"/>
      <c r="B157" s="8"/>
      <c r="C157" s="8"/>
      <c r="D157" s="1" t="s">
        <v>64</v>
      </c>
      <c r="E157" s="8">
        <v>26699.18</v>
      </c>
      <c r="F157" s="8">
        <v>6416.9369686837836</v>
      </c>
      <c r="G157" s="13">
        <v>33116.116968683782</v>
      </c>
      <c r="H157" s="13"/>
      <c r="I157" s="13"/>
      <c r="J157" s="8"/>
      <c r="M157" s="1" t="s">
        <v>55</v>
      </c>
      <c r="N157" s="8">
        <v>40860.351111667784</v>
      </c>
      <c r="O157" s="8">
        <v>40047.407259335385</v>
      </c>
      <c r="P157" s="8">
        <v>812.94385233239586</v>
      </c>
      <c r="Q157" s="8"/>
      <c r="R157" s="1" t="s">
        <v>64</v>
      </c>
      <c r="S157" s="8">
        <v>2237.42</v>
      </c>
      <c r="T157" s="8">
        <v>3107.79</v>
      </c>
      <c r="U157" s="8">
        <v>3204.56</v>
      </c>
      <c r="V157" s="13">
        <v>737.12619105708029</v>
      </c>
      <c r="W157" s="13">
        <v>1924.099270776826</v>
      </c>
      <c r="X157" s="13">
        <v>1949.1800157975042</v>
      </c>
      <c r="Y157" s="8"/>
      <c r="Z157" s="8"/>
      <c r="AA157" s="1" t="s">
        <v>64</v>
      </c>
      <c r="AB157" s="8">
        <v>13160.175477631412</v>
      </c>
      <c r="AC157" s="8">
        <v>8549.77</v>
      </c>
      <c r="AD157" s="8">
        <v>4610.4054776314106</v>
      </c>
      <c r="AE157" s="8"/>
    </row>
    <row r="158" spans="1:31" x14ac:dyDescent="0.4">
      <c r="A158" s="1"/>
      <c r="B158" s="8"/>
      <c r="C158" s="8"/>
      <c r="D158" s="1" t="s">
        <v>65</v>
      </c>
      <c r="E158" s="8">
        <v>25088.720000000001</v>
      </c>
      <c r="F158" s="8">
        <v>6032.7474824811416</v>
      </c>
      <c r="G158" s="13">
        <v>31121.467482481145</v>
      </c>
      <c r="H158" s="13"/>
      <c r="I158" s="13"/>
      <c r="J158" s="8"/>
      <c r="M158" s="1" t="s">
        <v>56</v>
      </c>
      <c r="N158" s="8">
        <v>294450.5340077022</v>
      </c>
      <c r="O158" s="8">
        <v>288592.24486125383</v>
      </c>
      <c r="P158" s="8">
        <v>5858.289146448361</v>
      </c>
      <c r="Q158" s="8"/>
      <c r="R158" s="1" t="s">
        <v>65</v>
      </c>
      <c r="S158" s="8">
        <v>1445.3</v>
      </c>
      <c r="T158" s="8">
        <v>2998.51</v>
      </c>
      <c r="U158" s="8">
        <v>1389.35</v>
      </c>
      <c r="V158" s="13">
        <v>733.50839687659652</v>
      </c>
      <c r="W158" s="13">
        <v>1991.1442935482773</v>
      </c>
      <c r="X158" s="13">
        <v>1989.7131775059224</v>
      </c>
      <c r="Y158" s="8"/>
      <c r="Z158" s="8"/>
      <c r="AA158" s="1" t="s">
        <v>65</v>
      </c>
      <c r="AB158" s="8">
        <v>10547.525867930795</v>
      </c>
      <c r="AC158" s="8">
        <v>5833.16</v>
      </c>
      <c r="AD158" s="8">
        <v>4714.3658679307964</v>
      </c>
      <c r="AE158" s="8"/>
    </row>
    <row r="159" spans="1:31" x14ac:dyDescent="0.4">
      <c r="A159" s="1"/>
      <c r="B159" s="8"/>
      <c r="C159" s="8"/>
      <c r="D159" s="1" t="s">
        <v>66</v>
      </c>
      <c r="E159" s="8">
        <v>25031.67</v>
      </c>
      <c r="F159" s="8">
        <v>5990.0511754292984</v>
      </c>
      <c r="G159" s="13">
        <v>31021.721175429295</v>
      </c>
      <c r="H159" s="13"/>
      <c r="I159" s="13"/>
      <c r="J159" s="8"/>
      <c r="M159" s="1" t="s">
        <v>57</v>
      </c>
      <c r="N159" s="8">
        <v>230748.1766140851</v>
      </c>
      <c r="O159" s="8">
        <v>226157.2882219938</v>
      </c>
      <c r="P159" s="8">
        <v>4590.8883920912986</v>
      </c>
      <c r="Q159" s="8"/>
      <c r="R159" s="1" t="s">
        <v>66</v>
      </c>
      <c r="S159" s="8">
        <v>1309.26</v>
      </c>
      <c r="T159" s="8">
        <v>2656.55</v>
      </c>
      <c r="U159" s="8">
        <v>852.69</v>
      </c>
      <c r="V159" s="13">
        <v>738.0306396022014</v>
      </c>
      <c r="W159" s="13">
        <v>2047.1681696388198</v>
      </c>
      <c r="X159" s="13">
        <v>2002.322759786176</v>
      </c>
      <c r="Y159" s="8"/>
      <c r="Z159" s="8"/>
      <c r="AA159" s="1" t="s">
        <v>66</v>
      </c>
      <c r="AB159" s="8">
        <v>9606.021569027198</v>
      </c>
      <c r="AC159" s="8">
        <v>4818.5</v>
      </c>
      <c r="AD159" s="8">
        <v>4787.5215690271971</v>
      </c>
      <c r="AE159" s="8"/>
    </row>
    <row r="160" spans="1:31" x14ac:dyDescent="0.4">
      <c r="A160" s="1"/>
      <c r="B160" s="8"/>
      <c r="C160" s="8"/>
      <c r="D160" s="1" t="s">
        <v>67</v>
      </c>
      <c r="E160" s="8">
        <v>29592.33</v>
      </c>
      <c r="F160" s="8">
        <v>5802.7105001563204</v>
      </c>
      <c r="G160" s="13">
        <v>35395.040500156319</v>
      </c>
      <c r="H160" s="13"/>
      <c r="I160" s="13"/>
      <c r="J160" s="8"/>
      <c r="M160" s="1" t="s">
        <v>58</v>
      </c>
      <c r="N160" s="8">
        <v>121256.72233005162</v>
      </c>
      <c r="O160" s="8">
        <v>118844.23921891057</v>
      </c>
      <c r="P160" s="8">
        <v>2412.4831111410467</v>
      </c>
      <c r="Q160" s="8"/>
      <c r="R160" s="1" t="s">
        <v>67</v>
      </c>
      <c r="S160" s="8">
        <v>1666.76</v>
      </c>
      <c r="T160" s="8">
        <v>3347.49</v>
      </c>
      <c r="U160" s="8">
        <v>789.27</v>
      </c>
      <c r="V160" s="13">
        <v>701.85269779736154</v>
      </c>
      <c r="W160" s="13">
        <v>2006.7576800809252</v>
      </c>
      <c r="X160" s="13">
        <v>2035.6496587319143</v>
      </c>
      <c r="Y160" s="8"/>
      <c r="Z160" s="8"/>
      <c r="AA160" s="1" t="s">
        <v>67</v>
      </c>
      <c r="AB160" s="8">
        <v>10547.780036610202</v>
      </c>
      <c r="AC160" s="8">
        <v>5803.52</v>
      </c>
      <c r="AD160" s="8">
        <v>4744.2600366102015</v>
      </c>
      <c r="AE160" s="8"/>
    </row>
    <row r="161" spans="1:31" x14ac:dyDescent="0.4">
      <c r="A161" s="1"/>
      <c r="B161" s="8"/>
      <c r="C161" s="8"/>
      <c r="D161" s="1" t="s">
        <v>68</v>
      </c>
      <c r="E161" s="8">
        <v>25849.31</v>
      </c>
      <c r="F161" s="8">
        <v>5929.1922194798026</v>
      </c>
      <c r="G161" s="13">
        <v>31778.502219479804</v>
      </c>
      <c r="H161" s="13"/>
      <c r="I161" s="13"/>
      <c r="J161" s="8"/>
      <c r="M161" s="1" t="s">
        <v>59</v>
      </c>
      <c r="N161" s="8">
        <v>98429.930528307901</v>
      </c>
      <c r="O161" s="8">
        <v>96471.60161699212</v>
      </c>
      <c r="P161" s="8">
        <v>1958.3289113157757</v>
      </c>
      <c r="Q161" s="8"/>
      <c r="R161" s="1" t="s">
        <v>68</v>
      </c>
      <c r="S161" s="8">
        <v>1717.79</v>
      </c>
      <c r="T161" s="8">
        <v>3436.19</v>
      </c>
      <c r="U161" s="8">
        <v>738.27</v>
      </c>
      <c r="V161" s="13">
        <v>645.77688799985981</v>
      </c>
      <c r="W161" s="13">
        <v>2020.5340180307016</v>
      </c>
      <c r="X161" s="13">
        <v>2078.8850312208938</v>
      </c>
      <c r="Y161" s="8"/>
      <c r="Z161" s="8"/>
      <c r="AA161" s="1" t="s">
        <v>68</v>
      </c>
      <c r="AB161" s="8">
        <v>10637.445937251456</v>
      </c>
      <c r="AC161" s="8">
        <v>5892.25</v>
      </c>
      <c r="AD161" s="8">
        <v>4745.1959372514557</v>
      </c>
      <c r="AE161" s="8"/>
    </row>
    <row r="162" spans="1:31" x14ac:dyDescent="0.4">
      <c r="A162" s="1"/>
      <c r="B162" s="8"/>
      <c r="C162" s="8"/>
      <c r="D162" s="1" t="s">
        <v>69</v>
      </c>
      <c r="E162" s="8">
        <v>27682.9</v>
      </c>
      <c r="F162" s="8">
        <v>6374.9185633308998</v>
      </c>
      <c r="G162" s="13">
        <v>34057.818563330904</v>
      </c>
      <c r="H162" s="13"/>
      <c r="I162" s="13"/>
      <c r="J162" s="8"/>
      <c r="M162" s="1" t="s">
        <v>60</v>
      </c>
      <c r="N162" s="8">
        <v>73781.801368230765</v>
      </c>
      <c r="O162" s="8">
        <v>72313.863374443303</v>
      </c>
      <c r="P162" s="8">
        <v>1467.9379937874683</v>
      </c>
      <c r="Q162" s="8"/>
      <c r="R162" s="1" t="s">
        <v>69</v>
      </c>
      <c r="S162" s="8">
        <v>2052.2800000000002</v>
      </c>
      <c r="T162" s="8">
        <v>4237.9799999999996</v>
      </c>
      <c r="U162" s="8">
        <v>769.21</v>
      </c>
      <c r="V162" s="13">
        <v>702.75714634248266</v>
      </c>
      <c r="W162" s="13">
        <v>2041.6577871010848</v>
      </c>
      <c r="X162" s="13">
        <v>1970.7977020419939</v>
      </c>
      <c r="Y162" s="8"/>
      <c r="Z162" s="8"/>
      <c r="AA162" s="1" t="s">
        <v>69</v>
      </c>
      <c r="AB162" s="8">
        <v>11774.682635485562</v>
      </c>
      <c r="AC162" s="8">
        <v>7059.47</v>
      </c>
      <c r="AD162" s="8">
        <v>4715.2126354855609</v>
      </c>
      <c r="AE162" s="8"/>
    </row>
    <row r="163" spans="1:31" x14ac:dyDescent="0.4">
      <c r="A163" s="1"/>
      <c r="B163" s="8"/>
      <c r="C163" s="8"/>
      <c r="D163" s="1" t="s">
        <v>70</v>
      </c>
      <c r="E163" s="8">
        <v>26075.46</v>
      </c>
      <c r="F163" s="8">
        <v>6471.6993076995914</v>
      </c>
      <c r="G163" s="13">
        <v>32547.159307699592</v>
      </c>
      <c r="H163" s="13"/>
      <c r="I163" s="13"/>
      <c r="J163" s="8"/>
      <c r="M163" s="1" t="s">
        <v>61</v>
      </c>
      <c r="N163" s="8">
        <v>49644.550587605088</v>
      </c>
      <c r="O163" s="8">
        <v>48656.839246317228</v>
      </c>
      <c r="P163" s="8">
        <v>987.71134128785752</v>
      </c>
      <c r="Q163" s="8"/>
      <c r="R163" s="1" t="s">
        <v>70</v>
      </c>
      <c r="S163" s="8">
        <v>2263.17</v>
      </c>
      <c r="T163" s="8">
        <v>5218.33</v>
      </c>
      <c r="U163" s="8">
        <v>733.25</v>
      </c>
      <c r="V163" s="13">
        <v>675.62368998885268</v>
      </c>
      <c r="W163" s="13">
        <v>1937.8759903320415</v>
      </c>
      <c r="X163" s="13">
        <v>1976.2021236031162</v>
      </c>
      <c r="Y163" s="8"/>
      <c r="Z163" s="8"/>
      <c r="AA163" s="1" t="s">
        <v>70</v>
      </c>
      <c r="AB163" s="8">
        <v>12804.45180392401</v>
      </c>
      <c r="AC163" s="8">
        <v>8214.75</v>
      </c>
      <c r="AD163" s="8">
        <v>4589.7018039240102</v>
      </c>
      <c r="AE163" s="8"/>
    </row>
    <row r="164" spans="1:31" x14ac:dyDescent="0.4">
      <c r="A164" s="1"/>
      <c r="B164" s="8"/>
      <c r="C164" s="8"/>
      <c r="D164" s="1" t="s">
        <v>71</v>
      </c>
      <c r="E164" s="8">
        <v>24355.43</v>
      </c>
      <c r="F164" s="8">
        <v>6463.5699112693383</v>
      </c>
      <c r="G164" s="13">
        <v>30818.99991126934</v>
      </c>
      <c r="H164" s="13"/>
      <c r="I164" s="13"/>
      <c r="J164" s="8"/>
      <c r="M164" s="1" t="s">
        <v>62</v>
      </c>
      <c r="N164" s="8">
        <v>28329.02</v>
      </c>
      <c r="O164" s="8">
        <v>25588.240000000002</v>
      </c>
      <c r="P164" s="8">
        <v>2740.7799999999997</v>
      </c>
      <c r="Q164" s="8"/>
      <c r="R164" s="1" t="s">
        <v>71</v>
      </c>
      <c r="S164" s="8">
        <v>2728.37</v>
      </c>
      <c r="T164" s="8">
        <v>6090.43</v>
      </c>
      <c r="U164" s="8">
        <v>987.86</v>
      </c>
      <c r="V164" s="13">
        <v>683.76372689494167</v>
      </c>
      <c r="W164" s="13">
        <v>2039.8211201236527</v>
      </c>
      <c r="X164" s="13">
        <v>2148.2410398929323</v>
      </c>
      <c r="Y164" s="8"/>
      <c r="Z164" s="8"/>
      <c r="AA164" s="1" t="s">
        <v>71</v>
      </c>
      <c r="AB164" s="8">
        <v>14678.485886911527</v>
      </c>
      <c r="AC164" s="8">
        <v>9806.66</v>
      </c>
      <c r="AD164" s="8">
        <v>4871.825886911527</v>
      </c>
      <c r="AE164" s="8"/>
    </row>
    <row r="165" spans="1:31" x14ac:dyDescent="0.4">
      <c r="A165" s="1"/>
      <c r="B165" s="8"/>
      <c r="C165" s="8"/>
      <c r="D165" s="1" t="s">
        <v>72</v>
      </c>
      <c r="E165" s="8">
        <v>22844.06</v>
      </c>
      <c r="F165" s="8">
        <v>6168.7324265891966</v>
      </c>
      <c r="G165" s="13">
        <v>29012.7924265892</v>
      </c>
      <c r="H165" s="13"/>
      <c r="I165" s="13"/>
      <c r="J165" s="8"/>
      <c r="M165" s="1" t="s">
        <v>63</v>
      </c>
      <c r="N165" s="8">
        <v>26148.79</v>
      </c>
      <c r="O165" s="8">
        <v>23264.27</v>
      </c>
      <c r="P165" s="8">
        <v>2884.52</v>
      </c>
      <c r="Q165" s="8"/>
      <c r="R165" s="1" t="s">
        <v>72</v>
      </c>
      <c r="S165" s="8">
        <v>2891.88</v>
      </c>
      <c r="T165" s="8">
        <v>8346.1200000000008</v>
      </c>
      <c r="U165" s="8">
        <v>924.23</v>
      </c>
      <c r="V165" s="13">
        <v>655.7258219961908</v>
      </c>
      <c r="W165" s="13">
        <v>2052.6789337819937</v>
      </c>
      <c r="X165" s="13">
        <v>2361.7145895137191</v>
      </c>
      <c r="Y165" s="8"/>
      <c r="Z165" s="8"/>
      <c r="AA165" s="1" t="s">
        <v>72</v>
      </c>
      <c r="AB165" s="8">
        <v>17232.349345291903</v>
      </c>
      <c r="AC165" s="8">
        <v>12162.23</v>
      </c>
      <c r="AD165" s="8">
        <v>5070.1193452919033</v>
      </c>
      <c r="AE165" s="8"/>
    </row>
    <row r="166" spans="1:31" x14ac:dyDescent="0.4">
      <c r="A166" s="1"/>
      <c r="B166" s="8"/>
      <c r="C166" s="8"/>
      <c r="D166" s="1" t="s">
        <v>73</v>
      </c>
      <c r="E166" s="8">
        <v>23017.08</v>
      </c>
      <c r="F166" s="8">
        <v>6068.6439292655987</v>
      </c>
      <c r="G166" s="13">
        <v>29085.723929265601</v>
      </c>
      <c r="H166" s="13"/>
      <c r="I166" s="13"/>
      <c r="J166" s="8"/>
      <c r="M166" s="1" t="s">
        <v>64</v>
      </c>
      <c r="N166" s="8">
        <v>24293.89</v>
      </c>
      <c r="O166" s="8">
        <v>21507.14</v>
      </c>
      <c r="P166" s="8">
        <v>2786.75</v>
      </c>
      <c r="Q166" s="8"/>
      <c r="R166" s="1" t="s">
        <v>73</v>
      </c>
      <c r="S166" s="8">
        <v>4470.8999999999996</v>
      </c>
      <c r="T166" s="8">
        <v>10278.52</v>
      </c>
      <c r="U166" s="8">
        <v>887.4</v>
      </c>
      <c r="V166" s="13">
        <v>596.93645763550319</v>
      </c>
      <c r="W166" s="13">
        <v>1941.5493242869059</v>
      </c>
      <c r="X166" s="13">
        <v>2268.0386838166296</v>
      </c>
      <c r="Y166" s="8"/>
      <c r="Z166" s="8"/>
      <c r="AA166" s="1" t="s">
        <v>73</v>
      </c>
      <c r="AB166" s="8">
        <v>20443.344465739039</v>
      </c>
      <c r="AC166" s="8">
        <v>15636.82</v>
      </c>
      <c r="AD166" s="8">
        <v>4806.5244657390385</v>
      </c>
      <c r="AE166" s="8"/>
    </row>
    <row r="167" spans="1:31" x14ac:dyDescent="0.4">
      <c r="A167" s="1"/>
      <c r="B167" s="8"/>
      <c r="C167" s="8"/>
      <c r="D167" s="1" t="s">
        <v>74</v>
      </c>
      <c r="E167" s="8">
        <v>21013.42</v>
      </c>
      <c r="F167" s="8">
        <v>5674.8017989857781</v>
      </c>
      <c r="G167" s="13">
        <v>26688.221798985775</v>
      </c>
      <c r="H167" s="13"/>
      <c r="I167" s="13"/>
      <c r="J167" s="8"/>
      <c r="M167" s="1" t="s">
        <v>65</v>
      </c>
      <c r="N167" s="8">
        <v>25302.59</v>
      </c>
      <c r="O167" s="8">
        <v>22706.69</v>
      </c>
      <c r="P167" s="8">
        <v>2595.9</v>
      </c>
      <c r="Q167" s="8"/>
      <c r="R167" s="1" t="s">
        <v>74</v>
      </c>
      <c r="S167" s="8">
        <v>5068.8500000000004</v>
      </c>
      <c r="T167" s="8">
        <v>13854.93</v>
      </c>
      <c r="U167" s="8">
        <v>840.52</v>
      </c>
      <c r="V167" s="13">
        <v>659.34361617667469</v>
      </c>
      <c r="W167" s="13">
        <v>1811.1333759097449</v>
      </c>
      <c r="X167" s="13">
        <v>2331.9902709275461</v>
      </c>
      <c r="Y167" s="8"/>
      <c r="Z167" s="8"/>
      <c r="AA167" s="1" t="s">
        <v>74</v>
      </c>
      <c r="AB167" s="8">
        <v>24566.767263013964</v>
      </c>
      <c r="AC167" s="8">
        <v>19764.3</v>
      </c>
      <c r="AD167" s="8">
        <v>4802.4672630139657</v>
      </c>
      <c r="AE167" s="8"/>
    </row>
    <row r="168" spans="1:31" x14ac:dyDescent="0.4">
      <c r="A168" s="1"/>
      <c r="B168" s="8"/>
      <c r="C168" s="8"/>
      <c r="D168" s="1" t="s">
        <v>75</v>
      </c>
      <c r="E168" s="8">
        <v>21260.85</v>
      </c>
      <c r="F168" s="8">
        <v>5264.9607527336366</v>
      </c>
      <c r="G168" s="13">
        <v>26525.810752733636</v>
      </c>
      <c r="H168" s="13"/>
      <c r="I168" s="13"/>
      <c r="J168" s="8"/>
      <c r="M168" s="1" t="s">
        <v>66</v>
      </c>
      <c r="N168" s="8">
        <v>42435.75</v>
      </c>
      <c r="O168" s="8">
        <v>39933.67</v>
      </c>
      <c r="P168" s="8">
        <v>2502.08</v>
      </c>
      <c r="Q168" s="8"/>
      <c r="R168" s="1" t="s">
        <v>75</v>
      </c>
      <c r="S168" s="8">
        <v>3798.64</v>
      </c>
      <c r="T168" s="8">
        <v>12553.93</v>
      </c>
      <c r="U168" s="8">
        <v>837.16</v>
      </c>
      <c r="V168" s="13">
        <v>565.28075855626832</v>
      </c>
      <c r="W168" s="13">
        <v>1600.8138278919137</v>
      </c>
      <c r="X168" s="13">
        <v>2085.1898223610201</v>
      </c>
      <c r="Y168" s="8"/>
      <c r="Z168" s="8"/>
      <c r="AA168" s="1" t="s">
        <v>75</v>
      </c>
      <c r="AB168" s="8">
        <v>21441.014408809202</v>
      </c>
      <c r="AC168" s="8">
        <v>17189.73</v>
      </c>
      <c r="AD168" s="8">
        <v>4251.2844088092024</v>
      </c>
      <c r="AE168" s="8"/>
    </row>
    <row r="169" spans="1:31" x14ac:dyDescent="0.4">
      <c r="A169" s="1"/>
      <c r="B169" s="8"/>
      <c r="C169" s="8"/>
      <c r="D169" s="1" t="s">
        <v>76</v>
      </c>
      <c r="E169" s="8">
        <v>17752.580000000002</v>
      </c>
      <c r="F169" s="8">
        <v>4751.5157506453133</v>
      </c>
      <c r="G169" s="13">
        <v>22504.095750645316</v>
      </c>
      <c r="H169" s="13"/>
      <c r="I169" s="13"/>
      <c r="J169" s="8"/>
      <c r="M169" s="1" t="s">
        <v>67</v>
      </c>
      <c r="N169" s="8">
        <v>63540.530000000006</v>
      </c>
      <c r="O169" s="8">
        <v>60269.16</v>
      </c>
      <c r="P169" s="8">
        <v>3271.3700000000003</v>
      </c>
      <c r="Q169" s="8"/>
      <c r="R169" s="1" t="s">
        <v>76</v>
      </c>
      <c r="S169" s="8">
        <v>4207.38</v>
      </c>
      <c r="T169" s="8">
        <v>10395.61</v>
      </c>
      <c r="U169" s="8">
        <v>646.07000000000005</v>
      </c>
      <c r="V169" s="13">
        <v>501.9693603977986</v>
      </c>
      <c r="W169" s="13">
        <v>1560.4033383340191</v>
      </c>
      <c r="X169" s="13">
        <v>1981.6065451642389</v>
      </c>
      <c r="Y169" s="8"/>
      <c r="Z169" s="8"/>
      <c r="AA169" s="1" t="s">
        <v>76</v>
      </c>
      <c r="AB169" s="8">
        <v>19293.039243896059</v>
      </c>
      <c r="AC169" s="8">
        <v>15249.060000000001</v>
      </c>
      <c r="AD169" s="8">
        <v>4043.9792438960567</v>
      </c>
      <c r="AE169" s="8"/>
    </row>
    <row r="170" spans="1:31" x14ac:dyDescent="0.4">
      <c r="A170" s="1"/>
      <c r="B170" s="8"/>
      <c r="C170" s="8"/>
      <c r="D170" s="1" t="s">
        <v>77</v>
      </c>
      <c r="E170" s="8">
        <v>16216.32</v>
      </c>
      <c r="F170" s="8">
        <v>5240.0352738564761</v>
      </c>
      <c r="G170" s="13">
        <v>21456.355273856476</v>
      </c>
      <c r="H170" s="13"/>
      <c r="I170" s="13"/>
      <c r="J170" s="8"/>
      <c r="M170" s="1" t="s">
        <v>68</v>
      </c>
      <c r="N170" s="8">
        <v>78347.259999999995</v>
      </c>
      <c r="O170" s="8">
        <v>75223.48</v>
      </c>
      <c r="P170" s="8">
        <v>3123.78</v>
      </c>
      <c r="Q170" s="8"/>
      <c r="R170" s="1" t="s">
        <v>77</v>
      </c>
      <c r="S170" s="8">
        <v>5940.53</v>
      </c>
      <c r="T170" s="8">
        <v>18783.55</v>
      </c>
      <c r="U170" s="8">
        <v>778.93</v>
      </c>
      <c r="V170" s="13">
        <v>508.30050021364559</v>
      </c>
      <c r="W170" s="13">
        <v>1900.2203104375758</v>
      </c>
      <c r="X170" s="13">
        <v>2522.0442931022862</v>
      </c>
      <c r="Y170" s="8"/>
      <c r="Z170" s="8"/>
      <c r="AA170" s="1" t="s">
        <v>77</v>
      </c>
      <c r="AB170" s="8">
        <v>30433.575103753508</v>
      </c>
      <c r="AC170" s="8">
        <v>25503.01</v>
      </c>
      <c r="AD170" s="8">
        <v>4930.5651037535081</v>
      </c>
      <c r="AE170" s="8"/>
    </row>
    <row r="171" spans="1:31" x14ac:dyDescent="0.4">
      <c r="A171" s="1"/>
      <c r="B171" s="8"/>
      <c r="C171" s="8"/>
      <c r="D171" s="1" t="s">
        <v>78</v>
      </c>
      <c r="E171" s="8">
        <v>15115.349999999999</v>
      </c>
      <c r="F171" s="8">
        <v>4949.2204081975424</v>
      </c>
      <c r="G171" s="13">
        <v>20064.570408197542</v>
      </c>
      <c r="H171" s="13"/>
      <c r="I171" s="13"/>
      <c r="J171" s="8"/>
      <c r="M171" s="1" t="s">
        <v>69</v>
      </c>
      <c r="N171" s="8">
        <v>82582.98</v>
      </c>
      <c r="O171" s="8">
        <v>79126.179999999993</v>
      </c>
      <c r="P171" s="8">
        <v>3456.8</v>
      </c>
      <c r="Q171" s="8"/>
      <c r="R171" s="1" t="s">
        <v>78</v>
      </c>
      <c r="S171" s="8">
        <v>6917.72</v>
      </c>
      <c r="T171" s="8">
        <v>21346.84</v>
      </c>
      <c r="U171" s="8">
        <v>757.09</v>
      </c>
      <c r="V171" s="13">
        <v>522.77167693558147</v>
      </c>
      <c r="W171" s="13">
        <v>1744.0883531382933</v>
      </c>
      <c r="X171" s="13">
        <v>2730.1134211619506</v>
      </c>
      <c r="Y171" s="8"/>
      <c r="Z171" s="8"/>
      <c r="AA171" s="1" t="s">
        <v>78</v>
      </c>
      <c r="AB171" s="8">
        <v>34018.623451235828</v>
      </c>
      <c r="AC171" s="8">
        <v>29021.65</v>
      </c>
      <c r="AD171" s="8">
        <v>4996.9734512358255</v>
      </c>
      <c r="AE171" s="8"/>
    </row>
    <row r="172" spans="1:31" x14ac:dyDescent="0.4">
      <c r="A172" s="1"/>
      <c r="B172" s="8"/>
      <c r="C172" s="8"/>
      <c r="D172" s="1" t="s">
        <v>79</v>
      </c>
      <c r="E172" s="8">
        <v>17264.919999999998</v>
      </c>
      <c r="F172" s="8">
        <v>4816.2078843139807</v>
      </c>
      <c r="G172" s="13">
        <v>22081.127884313981</v>
      </c>
      <c r="H172" s="13"/>
      <c r="I172" s="13"/>
      <c r="J172" s="8"/>
      <c r="M172" s="1" t="s">
        <v>70</v>
      </c>
      <c r="N172" s="8">
        <v>78409.219999999987</v>
      </c>
      <c r="O172" s="8">
        <v>74881.179999999993</v>
      </c>
      <c r="P172" s="8">
        <v>3528.04</v>
      </c>
      <c r="Q172" s="8"/>
      <c r="R172" s="1" t="s">
        <v>79</v>
      </c>
      <c r="S172" s="8">
        <v>10295.73</v>
      </c>
      <c r="T172" s="8">
        <v>26320.07</v>
      </c>
      <c r="U172" s="8">
        <v>790.75</v>
      </c>
      <c r="V172" s="13">
        <v>658.43916763155369</v>
      </c>
      <c r="W172" s="13">
        <v>1546.6270003842424</v>
      </c>
      <c r="X172" s="13">
        <v>2933.6784972394967</v>
      </c>
      <c r="Y172" s="8"/>
      <c r="Z172" s="8"/>
      <c r="AA172" s="1" t="s">
        <v>79</v>
      </c>
      <c r="AB172" s="8">
        <v>42545.294665255293</v>
      </c>
      <c r="AC172" s="8">
        <v>37406.550000000003</v>
      </c>
      <c r="AD172" s="8">
        <v>5138.7446652552926</v>
      </c>
      <c r="AE172" s="8"/>
    </row>
    <row r="173" spans="1:31" x14ac:dyDescent="0.4">
      <c r="A173" s="1"/>
      <c r="B173" s="8"/>
      <c r="C173" s="8"/>
      <c r="D173" s="1" t="s">
        <v>80</v>
      </c>
      <c r="E173" s="8">
        <v>24828.309999999998</v>
      </c>
      <c r="F173" s="8">
        <v>4691.2317031082603</v>
      </c>
      <c r="G173" s="13">
        <v>29519.541703108258</v>
      </c>
      <c r="H173" s="13"/>
      <c r="I173" s="13"/>
      <c r="J173" s="8"/>
      <c r="M173" s="1" t="s">
        <v>71</v>
      </c>
      <c r="N173" s="8">
        <v>75323.930000000008</v>
      </c>
      <c r="O173" s="8">
        <v>71862.86</v>
      </c>
      <c r="P173" s="8">
        <v>3461.07</v>
      </c>
      <c r="Q173" s="8"/>
      <c r="R173" s="1" t="s">
        <v>80</v>
      </c>
      <c r="S173" s="8">
        <v>10626.09</v>
      </c>
      <c r="T173" s="8">
        <v>82219.199999999997</v>
      </c>
      <c r="U173" s="8">
        <v>990.37</v>
      </c>
      <c r="V173" s="13">
        <v>984.04085280293521</v>
      </c>
      <c r="W173" s="13">
        <v>1786.3358912790593</v>
      </c>
      <c r="X173" s="13">
        <v>3517.3516176665239</v>
      </c>
      <c r="Y173" s="8"/>
      <c r="Z173" s="8"/>
      <c r="AA173" s="1" t="s">
        <v>80</v>
      </c>
      <c r="AB173" s="8">
        <v>100123.38836174851</v>
      </c>
      <c r="AC173" s="8">
        <v>93835.659999999989</v>
      </c>
      <c r="AD173" s="8">
        <v>6287.7283617485191</v>
      </c>
      <c r="AE173" s="8"/>
    </row>
    <row r="174" spans="1:31" x14ac:dyDescent="0.4">
      <c r="A174" s="1"/>
      <c r="B174" s="8"/>
      <c r="C174" s="8"/>
      <c r="D174" s="1" t="s">
        <v>81</v>
      </c>
      <c r="E174" s="8">
        <v>28240.23</v>
      </c>
      <c r="F174" s="8">
        <v>5252.7480273290366</v>
      </c>
      <c r="G174" s="13">
        <v>33492.978027329038</v>
      </c>
      <c r="H174" s="13"/>
      <c r="I174" s="13"/>
      <c r="J174" s="8"/>
      <c r="M174" s="1" t="s">
        <v>72</v>
      </c>
      <c r="N174" s="8">
        <v>68718.33</v>
      </c>
      <c r="O174" s="8">
        <v>65187.03</v>
      </c>
      <c r="P174" s="8">
        <v>3531.2999999999997</v>
      </c>
      <c r="Q174" s="8"/>
      <c r="R174" s="1" t="s">
        <v>81</v>
      </c>
      <c r="S174" s="8">
        <v>9399.56</v>
      </c>
      <c r="T174" s="8">
        <v>77385.440000000002</v>
      </c>
      <c r="U174" s="8">
        <v>908.75</v>
      </c>
      <c r="V174" s="13">
        <v>905.35382937740849</v>
      </c>
      <c r="W174" s="13">
        <v>1814.8070914700479</v>
      </c>
      <c r="X174" s="13">
        <v>3982.1285657924059</v>
      </c>
      <c r="Y174" s="8"/>
      <c r="Z174" s="8"/>
      <c r="AA174" s="1" t="s">
        <v>81</v>
      </c>
      <c r="AB174" s="8">
        <v>94396.039486639856</v>
      </c>
      <c r="AC174" s="8">
        <v>87693.75</v>
      </c>
      <c r="AD174" s="8">
        <v>6702.2894866398619</v>
      </c>
      <c r="AE174" s="8"/>
    </row>
    <row r="175" spans="1:31" x14ac:dyDescent="0.4">
      <c r="A175" s="1"/>
      <c r="B175" s="8"/>
      <c r="C175" s="8"/>
      <c r="D175" s="1" t="s">
        <v>82</v>
      </c>
      <c r="E175" s="8">
        <v>33573.990000000005</v>
      </c>
      <c r="F175" s="8">
        <v>4877.9280420277673</v>
      </c>
      <c r="G175" s="13">
        <v>38451.91804202777</v>
      </c>
      <c r="H175" s="13"/>
      <c r="I175" s="13"/>
      <c r="J175" s="8"/>
      <c r="M175" s="1" t="s">
        <v>73</v>
      </c>
      <c r="N175" s="8">
        <v>68722.490000000005</v>
      </c>
      <c r="O175" s="8">
        <v>65240.51</v>
      </c>
      <c r="P175" s="8">
        <v>3481.9800000000005</v>
      </c>
      <c r="Q175" s="8"/>
      <c r="R175" s="1" t="s">
        <v>82</v>
      </c>
      <c r="S175" s="8">
        <v>9588.17</v>
      </c>
      <c r="T175" s="8">
        <v>80960.25</v>
      </c>
      <c r="U175" s="8">
        <v>970.78</v>
      </c>
      <c r="V175" s="13">
        <v>867.36699048232663</v>
      </c>
      <c r="W175" s="13">
        <v>1778.9884601584529</v>
      </c>
      <c r="X175" s="13">
        <v>4777.4733946386623</v>
      </c>
      <c r="Y175" s="8"/>
      <c r="Z175" s="8"/>
      <c r="AA175" s="1" t="s">
        <v>82</v>
      </c>
      <c r="AB175" s="8">
        <v>98943.028845279434</v>
      </c>
      <c r="AC175" s="8">
        <v>91519.2</v>
      </c>
      <c r="AD175" s="8">
        <v>7423.8288452794422</v>
      </c>
      <c r="AE175" s="8"/>
    </row>
    <row r="176" spans="1:31" x14ac:dyDescent="0.4">
      <c r="A176" s="1"/>
      <c r="B176" s="8"/>
      <c r="C176" s="8"/>
      <c r="D176" s="1" t="s">
        <v>83</v>
      </c>
      <c r="E176" s="8">
        <v>36407.449999999997</v>
      </c>
      <c r="F176" s="8">
        <v>5148.0468065954137</v>
      </c>
      <c r="G176" s="13">
        <v>41555.496806595409</v>
      </c>
      <c r="H176" s="13"/>
      <c r="I176" s="13"/>
      <c r="J176" s="8"/>
      <c r="M176" s="1" t="s">
        <v>74</v>
      </c>
      <c r="N176" s="8">
        <v>51425.25</v>
      </c>
      <c r="O176" s="8">
        <v>48009.599999999999</v>
      </c>
      <c r="P176" s="8">
        <v>3415.6499999999996</v>
      </c>
      <c r="Q176" s="8"/>
      <c r="R176" s="1" t="s">
        <v>83</v>
      </c>
      <c r="S176" s="8">
        <v>8246.19</v>
      </c>
      <c r="T176" s="8">
        <v>60235.11</v>
      </c>
      <c r="U176" s="8">
        <v>950.1</v>
      </c>
      <c r="V176" s="13">
        <v>774.20858140704115</v>
      </c>
      <c r="W176" s="13">
        <v>1848.788674198772</v>
      </c>
      <c r="X176" s="13">
        <v>4330.7104503541559</v>
      </c>
      <c r="Y176" s="8"/>
      <c r="Z176" s="8"/>
      <c r="AA176" s="1" t="s">
        <v>83</v>
      </c>
      <c r="AB176" s="8">
        <v>76385.107705959977</v>
      </c>
      <c r="AC176" s="8">
        <v>69431.400000000009</v>
      </c>
      <c r="AD176" s="8">
        <v>6953.7077059599687</v>
      </c>
      <c r="AE176" s="8"/>
    </row>
    <row r="177" spans="1:31" x14ac:dyDescent="0.4">
      <c r="A177" s="1"/>
      <c r="B177" s="8"/>
      <c r="C177" s="8"/>
      <c r="D177" s="1" t="s">
        <v>84</v>
      </c>
      <c r="E177" s="8">
        <v>41967.08</v>
      </c>
      <c r="F177" s="8">
        <v>4746.2384336358409</v>
      </c>
      <c r="G177" s="13">
        <v>46713.318433635839</v>
      </c>
      <c r="H177" s="13"/>
      <c r="I177" s="13"/>
      <c r="J177" s="8"/>
      <c r="M177" s="1" t="s">
        <v>75</v>
      </c>
      <c r="N177" s="8">
        <v>30856.71</v>
      </c>
      <c r="O177" s="8">
        <v>28315.31</v>
      </c>
      <c r="P177" s="8">
        <v>2541.3999999999996</v>
      </c>
      <c r="Q177" s="8"/>
      <c r="R177" s="1" t="s">
        <v>84</v>
      </c>
      <c r="S177" s="8">
        <v>6354.6</v>
      </c>
      <c r="T177" s="8">
        <v>37494.019999999997</v>
      </c>
      <c r="U177" s="8">
        <v>866.81</v>
      </c>
      <c r="V177" s="13">
        <v>596.03200909038219</v>
      </c>
      <c r="W177" s="13">
        <v>1594.3849210627432</v>
      </c>
      <c r="X177" s="13">
        <v>3906.4666639366924</v>
      </c>
      <c r="Y177" s="8"/>
      <c r="Z177" s="8"/>
      <c r="AA177" s="1" t="s">
        <v>84</v>
      </c>
      <c r="AB177" s="8">
        <v>50812.313594089814</v>
      </c>
      <c r="AC177" s="8">
        <v>44715.429999999993</v>
      </c>
      <c r="AD177" s="8">
        <v>6096.883594089818</v>
      </c>
      <c r="AE177" s="8"/>
    </row>
    <row r="178" spans="1:31" x14ac:dyDescent="0.4">
      <c r="A178" s="1"/>
      <c r="B178" s="8"/>
      <c r="C178" s="8"/>
      <c r="D178" s="1" t="s">
        <v>85</v>
      </c>
      <c r="E178" s="8">
        <v>55675.049999999996</v>
      </c>
      <c r="F178" s="8">
        <v>4779.6188237522692</v>
      </c>
      <c r="G178" s="13">
        <v>60454.668823752261</v>
      </c>
      <c r="H178" s="13"/>
      <c r="I178" s="13"/>
      <c r="J178" s="8"/>
      <c r="M178" s="1" t="s">
        <v>76</v>
      </c>
      <c r="N178" s="8">
        <v>23205.65</v>
      </c>
      <c r="O178" s="8">
        <v>20726.27</v>
      </c>
      <c r="P178" s="8">
        <v>2479.38</v>
      </c>
      <c r="Q178" s="8"/>
      <c r="R178" s="1" t="s">
        <v>85</v>
      </c>
      <c r="S178" s="8">
        <v>5176.59</v>
      </c>
      <c r="T178" s="8">
        <v>28726.46</v>
      </c>
      <c r="U178" s="8">
        <v>4448.0600000000004</v>
      </c>
      <c r="V178" s="13">
        <v>563.47186146602633</v>
      </c>
      <c r="W178" s="13">
        <v>1644.8984146155503</v>
      </c>
      <c r="X178" s="13">
        <v>3625.4389468454233</v>
      </c>
      <c r="Y178" s="8"/>
      <c r="Z178" s="8"/>
      <c r="AA178" s="1" t="s">
        <v>85</v>
      </c>
      <c r="AB178" s="8">
        <v>44184.919222926997</v>
      </c>
      <c r="AC178" s="8">
        <v>38351.11</v>
      </c>
      <c r="AD178" s="8">
        <v>5833.8092229270005</v>
      </c>
      <c r="AE178" s="8"/>
    </row>
    <row r="179" spans="1:31" x14ac:dyDescent="0.4">
      <c r="A179" s="1"/>
      <c r="B179" s="8"/>
      <c r="C179" s="8"/>
      <c r="D179" s="1" t="s">
        <v>86</v>
      </c>
      <c r="E179" s="8">
        <v>46451.789999999994</v>
      </c>
      <c r="F179" s="8">
        <v>4643.9264402554682</v>
      </c>
      <c r="G179" s="13">
        <v>51095.716440255463</v>
      </c>
      <c r="H179" s="13"/>
      <c r="I179" s="13"/>
      <c r="J179" s="8"/>
      <c r="M179" s="1" t="s">
        <v>77</v>
      </c>
      <c r="N179" s="8">
        <v>23366.87</v>
      </c>
      <c r="O179" s="8">
        <v>20861.419999999998</v>
      </c>
      <c r="P179" s="8">
        <v>2505.4500000000003</v>
      </c>
      <c r="Q179" s="8"/>
      <c r="R179" s="1" t="s">
        <v>86</v>
      </c>
      <c r="S179" s="8">
        <v>4344.6400000000003</v>
      </c>
      <c r="T179" s="8">
        <v>22490.57</v>
      </c>
      <c r="U179" s="8">
        <v>5708.48</v>
      </c>
      <c r="V179" s="13">
        <v>539.05175074775934</v>
      </c>
      <c r="W179" s="13">
        <v>1634.7957922260766</v>
      </c>
      <c r="X179" s="13">
        <v>3329.9998062723448</v>
      </c>
      <c r="Y179" s="8"/>
      <c r="Z179" s="8"/>
      <c r="AA179" s="1" t="s">
        <v>86</v>
      </c>
      <c r="AB179" s="8">
        <v>38047.53734924618</v>
      </c>
      <c r="AC179" s="8">
        <v>32543.69</v>
      </c>
      <c r="AD179" s="8">
        <v>5503.8473492461808</v>
      </c>
      <c r="AE179" s="8"/>
    </row>
    <row r="180" spans="1:31" x14ac:dyDescent="0.4">
      <c r="A180" s="1"/>
      <c r="B180" s="8"/>
      <c r="C180" s="8"/>
      <c r="D180" s="1" t="s">
        <v>87</v>
      </c>
      <c r="E180" s="8">
        <v>46096.07</v>
      </c>
      <c r="F180" s="8">
        <v>4549.0845550706672</v>
      </c>
      <c r="G180" s="13">
        <v>50645.154555070665</v>
      </c>
      <c r="H180" s="13"/>
      <c r="I180" s="13"/>
      <c r="J180" s="8"/>
      <c r="M180" s="1" t="s">
        <v>78</v>
      </c>
      <c r="N180" s="8">
        <v>19632.53</v>
      </c>
      <c r="O180" s="8">
        <v>17122.86</v>
      </c>
      <c r="P180" s="8">
        <v>2509.67</v>
      </c>
      <c r="Q180" s="8"/>
      <c r="R180" s="1" t="s">
        <v>87</v>
      </c>
      <c r="S180" s="8">
        <v>3554.17</v>
      </c>
      <c r="T180" s="8">
        <v>17788.939999999999</v>
      </c>
      <c r="U180" s="8">
        <v>2446.65</v>
      </c>
      <c r="V180" s="13">
        <v>530.91171384167046</v>
      </c>
      <c r="W180" s="13">
        <v>1449.2737288389314</v>
      </c>
      <c r="X180" s="13">
        <v>3101.2144635907434</v>
      </c>
      <c r="Y180" s="8"/>
      <c r="Z180" s="8"/>
      <c r="AA180" s="1" t="s">
        <v>87</v>
      </c>
      <c r="AB180" s="8">
        <v>28871.159906271347</v>
      </c>
      <c r="AC180" s="8">
        <v>23789.760000000002</v>
      </c>
      <c r="AD180" s="8">
        <v>5081.3999062713456</v>
      </c>
      <c r="AE180" s="8"/>
    </row>
    <row r="181" spans="1:31" x14ac:dyDescent="0.4">
      <c r="A181" s="1"/>
      <c r="B181" s="8"/>
      <c r="C181" s="8"/>
      <c r="D181" s="1" t="s">
        <v>88</v>
      </c>
      <c r="E181" s="8">
        <v>44924.62</v>
      </c>
      <c r="F181" s="8">
        <v>4722.0493214634007</v>
      </c>
      <c r="G181" s="13">
        <v>49646.6693214634</v>
      </c>
      <c r="H181" s="13"/>
      <c r="I181" s="13"/>
      <c r="J181" s="8"/>
      <c r="M181" s="1" t="s">
        <v>79</v>
      </c>
      <c r="N181" s="8">
        <v>18858.22</v>
      </c>
      <c r="O181" s="8">
        <v>16174.14</v>
      </c>
      <c r="P181" s="8">
        <v>2684.08</v>
      </c>
      <c r="Q181" s="8"/>
      <c r="R181" s="1" t="s">
        <v>88</v>
      </c>
      <c r="S181" s="8">
        <v>2791.32</v>
      </c>
      <c r="T181" s="8">
        <v>15427.3</v>
      </c>
      <c r="U181" s="8">
        <v>1114.56</v>
      </c>
      <c r="V181" s="13">
        <v>503.77825748804048</v>
      </c>
      <c r="W181" s="13">
        <v>1527.3398982912918</v>
      </c>
      <c r="X181" s="13">
        <v>3279.5581710206866</v>
      </c>
      <c r="Y181" s="8"/>
      <c r="Z181" s="8"/>
      <c r="AA181" s="1" t="s">
        <v>88</v>
      </c>
      <c r="AB181" s="8">
        <v>24643.856326800018</v>
      </c>
      <c r="AC181" s="8">
        <v>19333.18</v>
      </c>
      <c r="AD181" s="8">
        <v>5310.6763268000186</v>
      </c>
      <c r="AE181" s="8"/>
    </row>
    <row r="182" spans="1:31" x14ac:dyDescent="0.4">
      <c r="A182" s="1"/>
      <c r="B182" s="8"/>
      <c r="C182" s="8"/>
      <c r="D182" s="1" t="s">
        <v>89</v>
      </c>
      <c r="E182" s="8">
        <v>50509.880000000005</v>
      </c>
      <c r="F182" s="8">
        <v>4659.6823810388369</v>
      </c>
      <c r="G182" s="13">
        <v>55169.562381038842</v>
      </c>
      <c r="H182" s="13"/>
      <c r="I182" s="13"/>
      <c r="J182" s="8"/>
      <c r="M182" s="1" t="s">
        <v>80</v>
      </c>
      <c r="N182" s="8">
        <v>23320.18</v>
      </c>
      <c r="O182" s="8">
        <v>19821.89</v>
      </c>
      <c r="P182" s="8">
        <v>3498.29</v>
      </c>
      <c r="Q182" s="8"/>
      <c r="R182" s="1" t="s">
        <v>89</v>
      </c>
      <c r="S182" s="8">
        <v>3203.75</v>
      </c>
      <c r="T182" s="8">
        <v>16363.99</v>
      </c>
      <c r="U182" s="8">
        <v>884.48</v>
      </c>
      <c r="V182" s="13">
        <v>492.0204264014676</v>
      </c>
      <c r="W182" s="13">
        <v>1641.2246990552471</v>
      </c>
      <c r="X182" s="13">
        <v>3826.3018121424084</v>
      </c>
      <c r="Y182" s="8"/>
      <c r="Z182" s="8"/>
      <c r="AA182" s="1" t="s">
        <v>89</v>
      </c>
      <c r="AB182" s="8">
        <v>26411.766937599121</v>
      </c>
      <c r="AC182" s="8">
        <v>20452.219999999998</v>
      </c>
      <c r="AD182" s="8">
        <v>5959.5469375991233</v>
      </c>
      <c r="AE182" s="8"/>
    </row>
    <row r="183" spans="1:31" x14ac:dyDescent="0.4">
      <c r="A183" s="1"/>
      <c r="B183" s="8"/>
      <c r="C183" s="8"/>
      <c r="D183" s="1" t="s">
        <v>90</v>
      </c>
      <c r="E183" s="8">
        <v>55963.16</v>
      </c>
      <c r="F183" s="8">
        <v>4775.1471607695021</v>
      </c>
      <c r="G183" s="13">
        <v>60738.307160769502</v>
      </c>
      <c r="H183" s="13"/>
      <c r="I183" s="13"/>
      <c r="J183" s="8"/>
      <c r="M183" s="1" t="s">
        <v>81</v>
      </c>
      <c r="N183" s="8">
        <v>21093.23</v>
      </c>
      <c r="O183" s="8">
        <v>17372.91</v>
      </c>
      <c r="P183" s="8">
        <v>3720.3199999999997</v>
      </c>
      <c r="Q183" s="8"/>
      <c r="R183" s="1" t="s">
        <v>90</v>
      </c>
      <c r="S183" s="8">
        <v>3060.21</v>
      </c>
      <c r="T183" s="8">
        <v>17633.88</v>
      </c>
      <c r="U183" s="8">
        <v>842.05</v>
      </c>
      <c r="V183" s="13">
        <v>519.15388275509747</v>
      </c>
      <c r="W183" s="13">
        <v>1787.2540339650557</v>
      </c>
      <c r="X183" s="13">
        <v>3732.6259064453197</v>
      </c>
      <c r="Y183" s="8"/>
      <c r="Z183" s="8"/>
      <c r="AA183" s="1" t="s">
        <v>90</v>
      </c>
      <c r="AB183" s="8">
        <v>27575.173823165474</v>
      </c>
      <c r="AC183" s="8">
        <v>21536.14</v>
      </c>
      <c r="AD183" s="8">
        <v>6039.0338231654732</v>
      </c>
      <c r="AE183" s="8"/>
    </row>
    <row r="184" spans="1:31" x14ac:dyDescent="0.4">
      <c r="A184" s="1"/>
      <c r="B184" s="8"/>
      <c r="C184" s="8"/>
      <c r="D184" s="1" t="s">
        <v>91</v>
      </c>
      <c r="E184" s="8">
        <v>80016.319999999992</v>
      </c>
      <c r="F184" s="8">
        <v>4621.5720255461802</v>
      </c>
      <c r="G184" s="13">
        <v>84637.892025546171</v>
      </c>
      <c r="H184" s="13"/>
      <c r="I184" s="13"/>
      <c r="J184" s="8"/>
      <c r="M184" s="1" t="s">
        <v>82</v>
      </c>
      <c r="N184" s="8">
        <v>19692.510000000002</v>
      </c>
      <c r="O184" s="8">
        <v>15924.76</v>
      </c>
      <c r="P184" s="8">
        <v>3767.75</v>
      </c>
      <c r="Q184" s="8"/>
      <c r="R184" s="1" t="s">
        <v>91</v>
      </c>
      <c r="S184" s="8">
        <v>2909.02</v>
      </c>
      <c r="T184" s="8">
        <v>18962.900000000001</v>
      </c>
      <c r="U184" s="8">
        <v>703.44</v>
      </c>
      <c r="V184" s="13">
        <v>543.57399347336434</v>
      </c>
      <c r="W184" s="13">
        <v>1563.1585296028868</v>
      </c>
      <c r="X184" s="13">
        <v>3607.4238409604991</v>
      </c>
      <c r="Y184" s="8"/>
      <c r="Z184" s="8"/>
      <c r="AA184" s="1" t="s">
        <v>91</v>
      </c>
      <c r="AB184" s="8">
        <v>28289.51636403675</v>
      </c>
      <c r="AC184" s="8">
        <v>22575.360000000001</v>
      </c>
      <c r="AD184" s="8">
        <v>5714.1563640367503</v>
      </c>
      <c r="AE184" s="8"/>
    </row>
    <row r="185" spans="1:31" x14ac:dyDescent="0.4">
      <c r="A185" s="1"/>
      <c r="B185" s="8"/>
      <c r="C185" s="8"/>
      <c r="D185" s="1" t="s">
        <v>92</v>
      </c>
      <c r="E185" s="8">
        <v>73016.01999999999</v>
      </c>
      <c r="F185" s="8">
        <v>4735.0647900582644</v>
      </c>
      <c r="G185" s="13">
        <v>77751.084790058259</v>
      </c>
      <c r="H185" s="13"/>
      <c r="I185" s="13"/>
      <c r="J185" s="8"/>
      <c r="M185" s="1" t="s">
        <v>83</v>
      </c>
      <c r="N185" s="8">
        <v>18444.080000000002</v>
      </c>
      <c r="O185" s="8">
        <v>14680.44</v>
      </c>
      <c r="P185" s="8">
        <v>3763.64</v>
      </c>
      <c r="Q185" s="8"/>
      <c r="R185" s="1" t="s">
        <v>92</v>
      </c>
      <c r="S185" s="8">
        <v>2915.71</v>
      </c>
      <c r="T185" s="8">
        <v>17311.939999999999</v>
      </c>
      <c r="U185" s="8">
        <v>785.47</v>
      </c>
      <c r="V185" s="13">
        <v>515.53608857461347</v>
      </c>
      <c r="W185" s="13">
        <v>1656.8377039824561</v>
      </c>
      <c r="X185" s="13">
        <v>3967.716040267047</v>
      </c>
      <c r="Y185" s="8"/>
      <c r="Z185" s="8"/>
      <c r="AA185" s="1" t="s">
        <v>92</v>
      </c>
      <c r="AB185" s="8">
        <v>27153.209832824115</v>
      </c>
      <c r="AC185" s="8">
        <v>21013.119999999999</v>
      </c>
      <c r="AD185" s="8">
        <v>6140.0898328241165</v>
      </c>
      <c r="AE185" s="8"/>
    </row>
    <row r="186" spans="1:31" x14ac:dyDescent="0.4">
      <c r="A186" s="1"/>
      <c r="B186" s="8"/>
      <c r="C186" s="8"/>
      <c r="D186" s="1" t="s">
        <v>93</v>
      </c>
      <c r="E186" s="8">
        <v>75009.119999999995</v>
      </c>
      <c r="F186" s="8">
        <v>4756.9165087405454</v>
      </c>
      <c r="G186" s="13">
        <v>79766.036508740537</v>
      </c>
      <c r="H186" s="13"/>
      <c r="I186" s="13"/>
      <c r="J186" s="8"/>
      <c r="M186" s="1" t="s">
        <v>84</v>
      </c>
      <c r="N186" s="8">
        <v>17957.599999999999</v>
      </c>
      <c r="O186" s="8">
        <v>12967.19</v>
      </c>
      <c r="P186" s="8">
        <v>4990.41</v>
      </c>
      <c r="Q186" s="8"/>
      <c r="R186" s="1" t="s">
        <v>93</v>
      </c>
      <c r="S186" s="8">
        <v>3636.52</v>
      </c>
      <c r="T186" s="8">
        <v>19835.18</v>
      </c>
      <c r="U186" s="8">
        <v>924.5</v>
      </c>
      <c r="V186" s="13">
        <v>514.63164002949247</v>
      </c>
      <c r="W186" s="13">
        <v>1726.6382996282136</v>
      </c>
      <c r="X186" s="13">
        <v>3563.2880988925158</v>
      </c>
      <c r="Y186" s="8"/>
      <c r="Z186" s="8"/>
      <c r="AA186" s="1" t="s">
        <v>93</v>
      </c>
      <c r="AB186" s="8">
        <v>30200.758038550222</v>
      </c>
      <c r="AC186" s="8">
        <v>24396.2</v>
      </c>
      <c r="AD186" s="8">
        <v>5804.5580385502217</v>
      </c>
      <c r="AE186" s="8"/>
    </row>
    <row r="187" spans="1:31" x14ac:dyDescent="0.4">
      <c r="A187" s="1"/>
      <c r="B187" s="8"/>
      <c r="C187" s="8"/>
      <c r="D187" s="1" t="s">
        <v>94</v>
      </c>
      <c r="E187" s="8">
        <v>69307.42</v>
      </c>
      <c r="F187" s="8">
        <v>4406.3452194763295</v>
      </c>
      <c r="G187" s="13">
        <v>73713.765219476321</v>
      </c>
      <c r="H187" s="13"/>
      <c r="I187" s="13"/>
      <c r="J187" s="8"/>
      <c r="M187" s="1" t="s">
        <v>85</v>
      </c>
      <c r="N187" s="8">
        <v>17219.66</v>
      </c>
      <c r="O187" s="8">
        <v>12662</v>
      </c>
      <c r="P187" s="8">
        <v>4557.66</v>
      </c>
      <c r="Q187" s="8"/>
      <c r="R187" s="1" t="s">
        <v>94</v>
      </c>
      <c r="S187" s="8">
        <v>3626.52</v>
      </c>
      <c r="T187" s="8">
        <v>17588.82</v>
      </c>
      <c r="U187" s="8">
        <v>934.52</v>
      </c>
      <c r="V187" s="13">
        <v>480.26259531489472</v>
      </c>
      <c r="W187" s="13">
        <v>1618.2638814019936</v>
      </c>
      <c r="X187" s="13">
        <v>3485.8254578787933</v>
      </c>
      <c r="Y187" s="8"/>
      <c r="Z187" s="8"/>
      <c r="AA187" s="1" t="s">
        <v>94</v>
      </c>
      <c r="AB187" s="8">
        <v>27734.211934595682</v>
      </c>
      <c r="AC187" s="8">
        <v>22149.86</v>
      </c>
      <c r="AD187" s="8">
        <v>5584.3519345956811</v>
      </c>
      <c r="AE187" s="8"/>
    </row>
    <row r="188" spans="1:31" x14ac:dyDescent="0.4">
      <c r="A188" s="1"/>
      <c r="B188" s="8"/>
      <c r="C188" s="8"/>
      <c r="D188" s="1" t="s">
        <v>95</v>
      </c>
      <c r="E188" s="8">
        <v>61993.590000000004</v>
      </c>
      <c r="F188" s="8">
        <v>4487.046431117702</v>
      </c>
      <c r="G188" s="13">
        <v>66480.636431117702</v>
      </c>
      <c r="H188" s="13"/>
      <c r="I188" s="13"/>
      <c r="J188" s="8"/>
      <c r="M188" s="1" t="s">
        <v>86</v>
      </c>
      <c r="N188" s="8">
        <v>16241.08</v>
      </c>
      <c r="O188" s="8">
        <v>11853.32</v>
      </c>
      <c r="P188" s="8">
        <v>4387.76</v>
      </c>
      <c r="Q188" s="8"/>
      <c r="R188" s="1" t="s">
        <v>95</v>
      </c>
      <c r="S188" s="8">
        <v>2647.97</v>
      </c>
      <c r="T188" s="8">
        <v>12701.25</v>
      </c>
      <c r="U188" s="8">
        <v>719.8</v>
      </c>
      <c r="V188" s="13">
        <v>394.33977460057713</v>
      </c>
      <c r="W188" s="13">
        <v>1540.1980935550719</v>
      </c>
      <c r="X188" s="13">
        <v>2873.3294904881463</v>
      </c>
      <c r="Y188" s="8"/>
      <c r="Z188" s="8"/>
      <c r="AA188" s="1" t="s">
        <v>95</v>
      </c>
      <c r="AB188" s="8">
        <v>20876.887358643795</v>
      </c>
      <c r="AC188" s="8">
        <v>16069.019999999999</v>
      </c>
      <c r="AD188" s="8">
        <v>4807.8673586437953</v>
      </c>
      <c r="AE188" s="8"/>
    </row>
    <row r="189" spans="1:31" x14ac:dyDescent="0.4">
      <c r="A189" s="1"/>
      <c r="B189" s="8"/>
      <c r="C189" s="8"/>
      <c r="D189" s="1" t="s">
        <v>96</v>
      </c>
      <c r="E189" s="8">
        <v>34409.869999999995</v>
      </c>
      <c r="F189" s="8">
        <v>3954.205968817912</v>
      </c>
      <c r="G189" s="13">
        <v>38364.07596881791</v>
      </c>
      <c r="H189" s="13"/>
      <c r="I189" s="13"/>
      <c r="J189" s="8"/>
      <c r="M189" s="1" t="s">
        <v>87</v>
      </c>
      <c r="N189" s="8">
        <v>14401.64</v>
      </c>
      <c r="O189" s="8">
        <v>10587.48</v>
      </c>
      <c r="P189" s="8">
        <v>3814.16</v>
      </c>
      <c r="Q189" s="8"/>
      <c r="R189" s="1" t="s">
        <v>96</v>
      </c>
      <c r="S189" s="8">
        <v>2938.98</v>
      </c>
      <c r="T189" s="8">
        <v>11024.75</v>
      </c>
      <c r="U189" s="8">
        <v>931.18</v>
      </c>
      <c r="V189" s="13">
        <v>349.11734734452733</v>
      </c>
      <c r="W189" s="13">
        <v>1578.7719161355342</v>
      </c>
      <c r="X189" s="13">
        <v>2524.7465038828477</v>
      </c>
      <c r="Y189" s="8"/>
      <c r="Z189" s="8"/>
      <c r="AA189" s="1" t="s">
        <v>96</v>
      </c>
      <c r="AB189" s="8">
        <v>19347.54576736291</v>
      </c>
      <c r="AC189" s="8">
        <v>14894.91</v>
      </c>
      <c r="AD189" s="8">
        <v>4452.6357673629091</v>
      </c>
      <c r="AE189" s="8"/>
    </row>
    <row r="190" spans="1:31" x14ac:dyDescent="0.4">
      <c r="A190" s="1"/>
      <c r="B190" s="8"/>
      <c r="C190" s="8"/>
      <c r="D190" s="1" t="s">
        <v>97</v>
      </c>
      <c r="E190" s="8">
        <v>27483.03</v>
      </c>
      <c r="F190" s="8">
        <v>4024.619243239918</v>
      </c>
      <c r="G190" s="13">
        <v>31507.649243239917</v>
      </c>
      <c r="H190" s="13"/>
      <c r="I190" s="13"/>
      <c r="J190" s="8"/>
      <c r="M190" s="1" t="s">
        <v>88</v>
      </c>
      <c r="N190" s="8">
        <v>17909.48</v>
      </c>
      <c r="O190" s="8">
        <v>8851.6299999999992</v>
      </c>
      <c r="P190" s="8">
        <v>9057.85</v>
      </c>
      <c r="Q190" s="8"/>
      <c r="R190" s="1" t="s">
        <v>97</v>
      </c>
      <c r="S190" s="8">
        <v>6182.65</v>
      </c>
      <c r="T190" s="8">
        <v>9343.82</v>
      </c>
      <c r="U190" s="8">
        <v>987.27</v>
      </c>
      <c r="V190" s="13">
        <v>281.28370646045266</v>
      </c>
      <c r="W190" s="13">
        <v>1513.5635603415149</v>
      </c>
      <c r="X190" s="13">
        <v>2302.2659523413727</v>
      </c>
      <c r="Y190" s="8"/>
      <c r="Z190" s="8"/>
      <c r="AA190" s="1" t="s">
        <v>97</v>
      </c>
      <c r="AB190" s="8">
        <v>20610.853219143341</v>
      </c>
      <c r="AC190" s="8">
        <v>16513.739999999998</v>
      </c>
      <c r="AD190" s="8">
        <v>4097.1132191433408</v>
      </c>
      <c r="AE190" s="8"/>
    </row>
    <row r="191" spans="1:31" x14ac:dyDescent="0.4">
      <c r="A191" s="1"/>
      <c r="B191" s="8"/>
      <c r="C191" s="8"/>
      <c r="D191" s="1" t="s">
        <v>98</v>
      </c>
      <c r="E191" s="8">
        <v>24990.3</v>
      </c>
      <c r="F191" s="8">
        <v>4046.3122245868312</v>
      </c>
      <c r="G191" s="13">
        <v>29036.612224586832</v>
      </c>
      <c r="H191" s="13"/>
      <c r="I191" s="13"/>
      <c r="J191" s="8"/>
      <c r="M191" s="1" t="s">
        <v>89</v>
      </c>
      <c r="N191" s="8">
        <v>12177.119999999999</v>
      </c>
      <c r="O191" s="8">
        <v>9376.59</v>
      </c>
      <c r="P191" s="8">
        <v>2800.5299999999997</v>
      </c>
      <c r="Q191" s="8"/>
      <c r="R191" s="1" t="s">
        <v>98</v>
      </c>
      <c r="S191" s="8">
        <v>3858.3</v>
      </c>
      <c r="T191" s="8">
        <v>9995.0400000000009</v>
      </c>
      <c r="U191" s="8">
        <v>964.54</v>
      </c>
      <c r="V191" s="13">
        <v>373.53745806279426</v>
      </c>
      <c r="W191" s="13">
        <v>1698.167099437225</v>
      </c>
      <c r="X191" s="13">
        <v>2511.2354499800413</v>
      </c>
      <c r="Y191" s="8"/>
      <c r="Z191" s="8"/>
      <c r="AA191" s="1" t="s">
        <v>98</v>
      </c>
      <c r="AB191" s="8">
        <v>19400.820007480062</v>
      </c>
      <c r="AC191" s="8">
        <v>14817.880000000001</v>
      </c>
      <c r="AD191" s="8">
        <v>4582.9400074800606</v>
      </c>
      <c r="AE191" s="8"/>
    </row>
    <row r="192" spans="1:31" x14ac:dyDescent="0.4">
      <c r="A192" s="1"/>
      <c r="B192" s="8"/>
      <c r="C192" s="8"/>
      <c r="D192" s="1" t="s">
        <v>99</v>
      </c>
      <c r="E192" s="8">
        <v>23217.16</v>
      </c>
      <c r="F192" s="8">
        <v>3992.4080583272653</v>
      </c>
      <c r="G192" s="13">
        <v>27209.568058327266</v>
      </c>
      <c r="H192" s="13"/>
      <c r="I192" s="13"/>
      <c r="J192" s="8"/>
      <c r="M192" s="1" t="s">
        <v>90</v>
      </c>
      <c r="N192" s="8">
        <v>11863.289999999999</v>
      </c>
      <c r="O192" s="8">
        <v>9378.4599999999991</v>
      </c>
      <c r="P192" s="8">
        <v>2484.83</v>
      </c>
      <c r="Q192" s="8"/>
      <c r="R192" s="1" t="s">
        <v>99</v>
      </c>
      <c r="S192" s="8">
        <v>2993.43</v>
      </c>
      <c r="T192" s="8">
        <v>11614.24</v>
      </c>
      <c r="U192" s="8">
        <v>1020.09</v>
      </c>
      <c r="V192" s="13">
        <v>363.58852406646326</v>
      </c>
      <c r="W192" s="13">
        <v>1561.3218626254545</v>
      </c>
      <c r="X192" s="13">
        <v>2368.9197502328502</v>
      </c>
      <c r="Y192" s="8"/>
      <c r="Z192" s="8"/>
      <c r="AA192" s="1" t="s">
        <v>99</v>
      </c>
      <c r="AB192" s="8">
        <v>19921.590136924766</v>
      </c>
      <c r="AC192" s="8">
        <v>15627.76</v>
      </c>
      <c r="AD192" s="8">
        <v>4293.8301369247674</v>
      </c>
      <c r="AE192" s="8"/>
    </row>
    <row r="193" spans="1:31" x14ac:dyDescent="0.4">
      <c r="A193" s="1"/>
      <c r="B193" s="8"/>
      <c r="C193" s="8"/>
      <c r="D193" s="1" t="s">
        <v>100</v>
      </c>
      <c r="E193" s="8">
        <v>22789.530000000002</v>
      </c>
      <c r="F193" s="8">
        <v>3868.4967286916308</v>
      </c>
      <c r="G193" s="13">
        <v>26658.026728691635</v>
      </c>
      <c r="H193" s="13"/>
      <c r="I193" s="13"/>
      <c r="J193" s="8"/>
      <c r="M193" s="1" t="s">
        <v>91</v>
      </c>
      <c r="N193" s="8">
        <v>11867.689999999999</v>
      </c>
      <c r="O193" s="8">
        <v>9321.75</v>
      </c>
      <c r="P193" s="8">
        <v>2545.9399999999996</v>
      </c>
      <c r="Q193" s="8"/>
      <c r="R193" s="1" t="s">
        <v>100</v>
      </c>
      <c r="S193" s="8">
        <v>2785.62</v>
      </c>
      <c r="T193" s="8">
        <v>12006.89</v>
      </c>
      <c r="U193" s="8">
        <v>818.09</v>
      </c>
      <c r="V193" s="13">
        <v>388.91308332985119</v>
      </c>
      <c r="W193" s="13">
        <v>1477.7449290299201</v>
      </c>
      <c r="X193" s="13">
        <v>2295.9611612012459</v>
      </c>
      <c r="Y193" s="8"/>
      <c r="Z193" s="8"/>
      <c r="AA193" s="1" t="s">
        <v>100</v>
      </c>
      <c r="AB193" s="8">
        <v>19773.219173561018</v>
      </c>
      <c r="AC193" s="8">
        <v>15610.599999999999</v>
      </c>
      <c r="AD193" s="8">
        <v>4162.6191735610173</v>
      </c>
      <c r="AE193" s="8"/>
    </row>
    <row r="194" spans="1:31" x14ac:dyDescent="0.4">
      <c r="A194" s="1"/>
      <c r="B194" s="8"/>
      <c r="C194" s="8"/>
      <c r="D194" s="1" t="s">
        <v>101</v>
      </c>
      <c r="E194" s="8">
        <v>15641.029999999999</v>
      </c>
      <c r="F194" s="8">
        <v>4012.8376208186701</v>
      </c>
      <c r="G194" s="13">
        <v>19653.86762081867</v>
      </c>
      <c r="H194" s="13"/>
      <c r="I194" s="13"/>
      <c r="J194" s="8"/>
      <c r="M194" s="1" t="s">
        <v>92</v>
      </c>
      <c r="N194" s="8">
        <v>13392.43</v>
      </c>
      <c r="O194" s="8">
        <v>11101.57</v>
      </c>
      <c r="P194" s="8">
        <v>2290.86</v>
      </c>
      <c r="Q194" s="8"/>
      <c r="R194" s="1" t="s">
        <v>101</v>
      </c>
      <c r="S194" s="8">
        <v>2602.44</v>
      </c>
      <c r="T194" s="8">
        <v>8566.5300000000007</v>
      </c>
      <c r="U194" s="8">
        <v>665.51</v>
      </c>
      <c r="V194" s="13">
        <v>486.59373513074161</v>
      </c>
      <c r="W194" s="13">
        <v>1493.3583155625677</v>
      </c>
      <c r="X194" s="13">
        <v>2153.6454614540548</v>
      </c>
      <c r="Y194" s="8"/>
      <c r="Z194" s="8"/>
      <c r="AA194" s="1" t="s">
        <v>101</v>
      </c>
      <c r="AB194" s="8">
        <v>15968.077512147365</v>
      </c>
      <c r="AC194" s="8">
        <v>11834.480000000001</v>
      </c>
      <c r="AD194" s="8">
        <v>4133.5975121473639</v>
      </c>
      <c r="AE194" s="8"/>
    </row>
    <row r="195" spans="1:31" x14ac:dyDescent="0.4">
      <c r="A195" s="1"/>
      <c r="B195" s="8"/>
      <c r="C195" s="8"/>
      <c r="D195" s="1" t="s">
        <v>102</v>
      </c>
      <c r="E195" s="8">
        <v>15177.869999999999</v>
      </c>
      <c r="F195" s="8">
        <v>3891.9342810111848</v>
      </c>
      <c r="G195" s="13">
        <v>19069.804281011184</v>
      </c>
      <c r="H195" s="13"/>
      <c r="I195" s="13"/>
      <c r="J195" s="8"/>
      <c r="M195" s="1" t="s">
        <v>93</v>
      </c>
      <c r="N195" s="8">
        <v>16985.86</v>
      </c>
      <c r="O195" s="8">
        <v>14320.37</v>
      </c>
      <c r="P195" s="8">
        <v>2665.4900000000002</v>
      </c>
      <c r="Q195" s="8"/>
      <c r="R195" s="1" t="s">
        <v>102</v>
      </c>
      <c r="S195" s="8">
        <v>1960.75</v>
      </c>
      <c r="T195" s="8">
        <v>6386.83</v>
      </c>
      <c r="U195" s="8">
        <v>684.84</v>
      </c>
      <c r="V195" s="13">
        <v>377.1552522432782</v>
      </c>
      <c r="W195" s="13">
        <v>1495.1949825399997</v>
      </c>
      <c r="X195" s="13">
        <v>2156.3476722346159</v>
      </c>
      <c r="Y195" s="8"/>
      <c r="Z195" s="8"/>
      <c r="AA195" s="1" t="s">
        <v>102</v>
      </c>
      <c r="AB195" s="8">
        <v>13061.117907017895</v>
      </c>
      <c r="AC195" s="8">
        <v>9032.42</v>
      </c>
      <c r="AD195" s="8">
        <v>4028.6979070178941</v>
      </c>
      <c r="AE195" s="8"/>
    </row>
    <row r="196" spans="1:31" x14ac:dyDescent="0.4">
      <c r="A196" s="1"/>
      <c r="B196" s="8"/>
      <c r="C196" s="8"/>
      <c r="D196" s="1" t="s">
        <v>103</v>
      </c>
      <c r="E196" s="8">
        <v>14655.82</v>
      </c>
      <c r="F196" s="8">
        <v>3922.1574694109777</v>
      </c>
      <c r="G196" s="13">
        <v>18577.977469410976</v>
      </c>
      <c r="H196" s="13"/>
      <c r="I196" s="13"/>
      <c r="J196" s="8"/>
      <c r="M196" s="1" t="s">
        <v>94</v>
      </c>
      <c r="N196" s="8">
        <v>13654.27</v>
      </c>
      <c r="O196" s="8">
        <v>11181.37</v>
      </c>
      <c r="P196" s="8">
        <v>2472.9</v>
      </c>
      <c r="Q196" s="8"/>
      <c r="R196" s="1" t="s">
        <v>103</v>
      </c>
      <c r="S196" s="8">
        <v>1784.09</v>
      </c>
      <c r="T196" s="8">
        <v>5583.55</v>
      </c>
      <c r="U196" s="8">
        <v>654.32000000000005</v>
      </c>
      <c r="V196" s="13">
        <v>401.57536296154518</v>
      </c>
      <c r="W196" s="13">
        <v>1445.6000132786282</v>
      </c>
      <c r="X196" s="13">
        <v>1751.9197308600847</v>
      </c>
      <c r="Y196" s="8"/>
      <c r="Z196" s="8"/>
      <c r="AA196" s="1" t="s">
        <v>103</v>
      </c>
      <c r="AB196" s="8">
        <v>11621.055107100259</v>
      </c>
      <c r="AC196" s="8">
        <v>8021.96</v>
      </c>
      <c r="AD196" s="8">
        <v>3599.0951071002582</v>
      </c>
      <c r="AE196" s="8"/>
    </row>
    <row r="197" spans="1:31" x14ac:dyDescent="0.4">
      <c r="A197" s="1"/>
      <c r="B197" s="8"/>
      <c r="C197" s="8"/>
      <c r="D197" s="1" t="s">
        <v>104</v>
      </c>
      <c r="E197" s="8">
        <v>14073.470000000001</v>
      </c>
      <c r="F197" s="8">
        <v>3897.2514060987091</v>
      </c>
      <c r="G197" s="13">
        <v>17970.72140609871</v>
      </c>
      <c r="H197" s="13"/>
      <c r="I197" s="13"/>
      <c r="J197" s="8"/>
      <c r="M197" s="1" t="s">
        <v>95</v>
      </c>
      <c r="N197" s="8">
        <v>12015.57</v>
      </c>
      <c r="O197" s="8">
        <v>9700.77</v>
      </c>
      <c r="P197" s="8">
        <v>2314.8000000000002</v>
      </c>
      <c r="Q197" s="8"/>
      <c r="R197" s="1" t="s">
        <v>104</v>
      </c>
      <c r="S197" s="8">
        <v>1668.75</v>
      </c>
      <c r="T197" s="8">
        <v>5060.57</v>
      </c>
      <c r="U197" s="8">
        <v>610.55999999999995</v>
      </c>
      <c r="V197" s="13">
        <v>389.81753187497225</v>
      </c>
      <c r="W197" s="13">
        <v>1356.5130787507976</v>
      </c>
      <c r="X197" s="13">
        <v>1839.2908454170474</v>
      </c>
      <c r="Y197" s="8"/>
      <c r="Z197" s="8"/>
      <c r="AA197" s="1" t="s">
        <v>104</v>
      </c>
      <c r="AB197" s="8">
        <v>10925.501456042817</v>
      </c>
      <c r="AC197" s="8">
        <v>7339.8799999999992</v>
      </c>
      <c r="AD197" s="8">
        <v>3585.621456042817</v>
      </c>
      <c r="AE197" s="8"/>
    </row>
    <row r="198" spans="1:31" x14ac:dyDescent="0.4">
      <c r="A198" s="1"/>
      <c r="B198" s="8"/>
      <c r="C198" s="8"/>
      <c r="D198" s="1" t="s">
        <v>105</v>
      </c>
      <c r="E198" s="8">
        <v>13841.82</v>
      </c>
      <c r="F198" s="8">
        <v>3678.1516991255121</v>
      </c>
      <c r="G198" s="13">
        <v>17519.971699125512</v>
      </c>
      <c r="H198" s="13"/>
      <c r="I198" s="13"/>
      <c r="J198" s="8"/>
      <c r="M198" s="1" t="s">
        <v>96</v>
      </c>
      <c r="N198" s="8">
        <v>14784.29</v>
      </c>
      <c r="O198" s="8">
        <v>12487.49</v>
      </c>
      <c r="P198" s="8">
        <v>2296.8000000000002</v>
      </c>
      <c r="Q198" s="8"/>
      <c r="R198" s="1" t="s">
        <v>105</v>
      </c>
      <c r="S198" s="8">
        <v>1503.98</v>
      </c>
      <c r="T198" s="8">
        <v>4032.52</v>
      </c>
      <c r="U198" s="8">
        <v>564.77</v>
      </c>
      <c r="V198" s="13">
        <v>334.6461706225914</v>
      </c>
      <c r="W198" s="13">
        <v>1314.2655406100316</v>
      </c>
      <c r="X198" s="13">
        <v>1692.4721957312865</v>
      </c>
      <c r="Y198" s="8"/>
      <c r="Z198" s="8"/>
      <c r="AA198" s="1" t="s">
        <v>105</v>
      </c>
      <c r="AB198" s="8">
        <v>9442.6539069639111</v>
      </c>
      <c r="AC198" s="8">
        <v>6101.27</v>
      </c>
      <c r="AD198" s="8">
        <v>3341.3839069639098</v>
      </c>
      <c r="AE198" s="8"/>
    </row>
    <row r="199" spans="1:31" x14ac:dyDescent="0.4">
      <c r="A199" s="1"/>
      <c r="B199" s="8"/>
      <c r="C199" s="8"/>
      <c r="D199" s="1" t="s">
        <v>106</v>
      </c>
      <c r="E199" s="8">
        <v>17944.12</v>
      </c>
      <c r="F199" s="8">
        <v>3673.4860316022141</v>
      </c>
      <c r="G199" s="13">
        <v>21617.606031602212</v>
      </c>
      <c r="H199" s="13"/>
      <c r="I199" s="13"/>
      <c r="J199" s="8"/>
      <c r="M199" s="1" t="s">
        <v>97</v>
      </c>
      <c r="N199" s="8">
        <v>16272.38</v>
      </c>
      <c r="O199" s="8">
        <v>12997.97</v>
      </c>
      <c r="P199" s="8">
        <v>3274.41</v>
      </c>
      <c r="Q199" s="8"/>
      <c r="R199" s="1" t="s">
        <v>106</v>
      </c>
      <c r="S199" s="8">
        <v>1842.96</v>
      </c>
      <c r="T199" s="8">
        <v>4702.46</v>
      </c>
      <c r="U199" s="8">
        <v>725.25</v>
      </c>
      <c r="V199" s="13">
        <v>349.11734734452733</v>
      </c>
      <c r="W199" s="13">
        <v>1396.9235683086922</v>
      </c>
      <c r="X199" s="13">
        <v>1788.8503122089371</v>
      </c>
      <c r="Y199" s="8"/>
      <c r="Z199" s="8"/>
      <c r="AA199" s="1" t="s">
        <v>106</v>
      </c>
      <c r="AB199" s="8">
        <v>10805.561227862156</v>
      </c>
      <c r="AC199" s="8">
        <v>7270.67</v>
      </c>
      <c r="AD199" s="8">
        <v>3534.8912278621565</v>
      </c>
      <c r="AE199" s="8"/>
    </row>
    <row r="200" spans="1:31" x14ac:dyDescent="0.4">
      <c r="A200" s="1"/>
      <c r="B200" s="8"/>
      <c r="C200" s="8"/>
      <c r="D200" s="1" t="s">
        <v>107</v>
      </c>
      <c r="E200" s="8">
        <v>26893.29</v>
      </c>
      <c r="F200" s="8">
        <v>3843.3668436210864</v>
      </c>
      <c r="G200" s="13">
        <v>30736.656843621087</v>
      </c>
      <c r="H200" s="13"/>
      <c r="I200" s="13"/>
      <c r="J200" s="8"/>
      <c r="M200" s="1" t="s">
        <v>98</v>
      </c>
      <c r="N200" s="8">
        <v>15026.13</v>
      </c>
      <c r="O200" s="8">
        <v>12197.41</v>
      </c>
      <c r="P200" s="8">
        <v>2828.72</v>
      </c>
      <c r="Q200" s="8"/>
      <c r="R200" s="1" t="s">
        <v>107</v>
      </c>
      <c r="S200" s="8">
        <v>1814.72</v>
      </c>
      <c r="T200" s="8">
        <v>4515.26</v>
      </c>
      <c r="U200" s="8">
        <v>766.72</v>
      </c>
      <c r="V200" s="13">
        <v>407.00205423227106</v>
      </c>
      <c r="W200" s="13">
        <v>1417.1291946930783</v>
      </c>
      <c r="X200" s="13">
        <v>1525.8365989590445</v>
      </c>
      <c r="Y200" s="8"/>
      <c r="Z200" s="8"/>
      <c r="AA200" s="1" t="s">
        <v>107</v>
      </c>
      <c r="AB200" s="8">
        <v>10446.667847884395</v>
      </c>
      <c r="AC200" s="8">
        <v>7096.7000000000007</v>
      </c>
      <c r="AD200" s="8">
        <v>3349.9678478843939</v>
      </c>
      <c r="AE200" s="8"/>
    </row>
    <row r="201" spans="1:31" x14ac:dyDescent="0.4">
      <c r="A201" s="1"/>
      <c r="B201" s="8"/>
      <c r="C201" s="8"/>
      <c r="D201" s="1" t="s">
        <v>108</v>
      </c>
      <c r="E201" s="8">
        <v>21469.32</v>
      </c>
      <c r="F201" s="8">
        <v>3887.8128579036761</v>
      </c>
      <c r="G201" s="13">
        <v>25357.132857903674</v>
      </c>
      <c r="H201" s="13"/>
      <c r="I201" s="13"/>
      <c r="J201" s="8"/>
      <c r="M201" s="1" t="s">
        <v>99</v>
      </c>
      <c r="N201" s="8">
        <v>15975.31</v>
      </c>
      <c r="O201" s="8">
        <v>13043.59</v>
      </c>
      <c r="P201" s="8">
        <v>2931.72</v>
      </c>
      <c r="Q201" s="8"/>
      <c r="R201" s="1" t="s">
        <v>108</v>
      </c>
      <c r="S201" s="8">
        <v>1792.36</v>
      </c>
      <c r="T201" s="8">
        <v>3925.53</v>
      </c>
      <c r="U201" s="8">
        <v>713.93</v>
      </c>
      <c r="V201" s="13">
        <v>370.82411242743126</v>
      </c>
      <c r="W201" s="13">
        <v>1264.6705713486604</v>
      </c>
      <c r="X201" s="13">
        <v>1452.8769078838918</v>
      </c>
      <c r="Y201" s="8"/>
      <c r="Z201" s="8"/>
      <c r="AA201" s="1" t="s">
        <v>108</v>
      </c>
      <c r="AB201" s="8">
        <v>9520.1915916599846</v>
      </c>
      <c r="AC201" s="8">
        <v>6431.8200000000006</v>
      </c>
      <c r="AD201" s="8">
        <v>3088.3715916599836</v>
      </c>
      <c r="AE201" s="8"/>
    </row>
    <row r="202" spans="1:31" x14ac:dyDescent="0.4">
      <c r="A202" s="1"/>
      <c r="B202" s="8"/>
      <c r="C202" s="8"/>
      <c r="D202" s="1" t="s">
        <v>109</v>
      </c>
      <c r="E202" s="8">
        <v>18953.280000000002</v>
      </c>
      <c r="F202" s="8">
        <v>3745.6602895134074</v>
      </c>
      <c r="G202" s="13">
        <v>22698.940289513412</v>
      </c>
      <c r="H202" s="13"/>
      <c r="I202" s="13"/>
      <c r="J202" s="8"/>
      <c r="M202" s="1" t="s">
        <v>100</v>
      </c>
      <c r="N202" s="8">
        <v>17126.21</v>
      </c>
      <c r="O202" s="8">
        <v>13761.04</v>
      </c>
      <c r="P202" s="8">
        <v>3365.17</v>
      </c>
      <c r="Q202" s="8"/>
      <c r="R202" s="1" t="s">
        <v>109</v>
      </c>
      <c r="S202" s="8">
        <v>1689.97</v>
      </c>
      <c r="T202" s="8">
        <v>3486.75</v>
      </c>
      <c r="U202" s="8">
        <v>744.1</v>
      </c>
      <c r="V202" s="13">
        <v>379.8685978786412</v>
      </c>
      <c r="W202" s="13">
        <v>1233.4441798888038</v>
      </c>
      <c r="X202" s="13">
        <v>1319.5693121009367</v>
      </c>
      <c r="Y202" s="8"/>
      <c r="Z202" s="8"/>
      <c r="AA202" s="1" t="s">
        <v>109</v>
      </c>
      <c r="AB202" s="8">
        <v>8853.7020898683822</v>
      </c>
      <c r="AC202" s="8">
        <v>5920.8200000000006</v>
      </c>
      <c r="AD202" s="8">
        <v>2932.8820898683816</v>
      </c>
      <c r="AE202" s="8"/>
    </row>
    <row r="203" spans="1:31" x14ac:dyDescent="0.4">
      <c r="A203" s="1"/>
      <c r="B203" s="8"/>
      <c r="C203" s="8"/>
      <c r="D203" s="1" t="s">
        <v>110</v>
      </c>
      <c r="E203" s="8">
        <v>17810.48</v>
      </c>
      <c r="F203" s="8">
        <v>3710.6275710747705</v>
      </c>
      <c r="G203" s="13">
        <v>21521.107571074768</v>
      </c>
      <c r="H203" s="13"/>
      <c r="I203" s="13"/>
      <c r="J203" s="8"/>
      <c r="M203" s="1" t="s">
        <v>101</v>
      </c>
      <c r="N203" s="8">
        <v>13999.53</v>
      </c>
      <c r="O203" s="8">
        <v>11164.26</v>
      </c>
      <c r="P203" s="8">
        <v>2835.27</v>
      </c>
      <c r="Q203" s="8"/>
      <c r="R203" s="1" t="s">
        <v>110</v>
      </c>
      <c r="S203" s="8">
        <v>1740.49</v>
      </c>
      <c r="T203" s="8">
        <v>3220.28</v>
      </c>
      <c r="U203" s="8">
        <v>836.41</v>
      </c>
      <c r="V203" s="13">
        <v>381.67749496888325</v>
      </c>
      <c r="W203" s="13">
        <v>1165.4806328259169</v>
      </c>
      <c r="X203" s="13">
        <v>1336.6829463633085</v>
      </c>
      <c r="Y203" s="8"/>
      <c r="Z203" s="8"/>
      <c r="AA203" s="1" t="s">
        <v>110</v>
      </c>
      <c r="AB203" s="8">
        <v>8681.0210741581086</v>
      </c>
      <c r="AC203" s="8">
        <v>5797.18</v>
      </c>
      <c r="AD203" s="8">
        <v>2883.8410741581088</v>
      </c>
      <c r="AE203" s="8"/>
    </row>
    <row r="204" spans="1:31" x14ac:dyDescent="0.4">
      <c r="A204" s="1"/>
      <c r="B204" s="8"/>
      <c r="C204" s="8"/>
      <c r="D204" s="1" t="s">
        <v>111</v>
      </c>
      <c r="E204" s="8">
        <v>17045.900000000001</v>
      </c>
      <c r="F204" s="8">
        <v>3656.8896157621907</v>
      </c>
      <c r="G204" s="13">
        <v>20702.789615762191</v>
      </c>
      <c r="H204" s="13"/>
      <c r="I204" s="13"/>
      <c r="J204" s="8"/>
      <c r="M204" s="1" t="s">
        <v>102</v>
      </c>
      <c r="N204" s="8">
        <v>12580.449999999999</v>
      </c>
      <c r="O204" s="8">
        <v>10221.81</v>
      </c>
      <c r="P204" s="8">
        <v>2358.64</v>
      </c>
      <c r="Q204" s="8"/>
      <c r="R204" s="1" t="s">
        <v>111</v>
      </c>
      <c r="S204" s="8">
        <v>1863.54</v>
      </c>
      <c r="T204" s="8">
        <v>3467</v>
      </c>
      <c r="U204" s="8">
        <v>628.53</v>
      </c>
      <c r="V204" s="13">
        <v>372.63300951767326</v>
      </c>
      <c r="W204" s="13">
        <v>1174.665112529394</v>
      </c>
      <c r="X204" s="13">
        <v>1433.0610628409593</v>
      </c>
      <c r="Y204" s="8"/>
      <c r="Z204" s="8"/>
      <c r="AA204" s="1" t="s">
        <v>111</v>
      </c>
      <c r="AB204" s="8">
        <v>8939.4291848880275</v>
      </c>
      <c r="AC204" s="8">
        <v>5959.07</v>
      </c>
      <c r="AD204" s="8">
        <v>2980.3591848880269</v>
      </c>
      <c r="AE204" s="8"/>
    </row>
    <row r="205" spans="1:31" x14ac:dyDescent="0.4">
      <c r="A205" s="1"/>
      <c r="B205" s="8"/>
      <c r="C205" s="8"/>
      <c r="D205" s="1" t="s">
        <v>112</v>
      </c>
      <c r="E205" s="8">
        <v>18627.36</v>
      </c>
      <c r="F205" s="8">
        <v>3613.7160432090468</v>
      </c>
      <c r="G205" s="13">
        <v>22241.076043209046</v>
      </c>
      <c r="H205" s="13"/>
      <c r="I205" s="13"/>
      <c r="J205" s="8"/>
      <c r="M205" s="1" t="s">
        <v>103</v>
      </c>
      <c r="N205" s="8">
        <v>75275.28</v>
      </c>
      <c r="O205" s="8">
        <v>72841.67</v>
      </c>
      <c r="P205" s="8">
        <v>2433.6099999999997</v>
      </c>
      <c r="Q205" s="8"/>
      <c r="R205" s="1" t="s">
        <v>112</v>
      </c>
      <c r="S205" s="8">
        <v>1643.46</v>
      </c>
      <c r="T205" s="8">
        <v>2947.82</v>
      </c>
      <c r="U205" s="8">
        <v>781.38</v>
      </c>
      <c r="V205" s="13">
        <v>407.00205423227106</v>
      </c>
      <c r="W205" s="13">
        <v>1191.1966417480382</v>
      </c>
      <c r="X205" s="13">
        <v>1151.1329761706863</v>
      </c>
      <c r="Y205" s="8"/>
      <c r="Z205" s="8"/>
      <c r="AA205" s="1" t="s">
        <v>112</v>
      </c>
      <c r="AB205" s="8">
        <v>8121.9916721509962</v>
      </c>
      <c r="AC205" s="8">
        <v>5372.6600000000008</v>
      </c>
      <c r="AD205" s="8">
        <v>2749.3316721509955</v>
      </c>
      <c r="AE205" s="8"/>
    </row>
    <row r="206" spans="1:31" x14ac:dyDescent="0.4">
      <c r="A206" s="1"/>
      <c r="B206" s="8"/>
      <c r="C206" s="8"/>
      <c r="D206" s="1" t="s">
        <v>113</v>
      </c>
      <c r="E206" s="8">
        <v>20366.25</v>
      </c>
      <c r="F206" s="8">
        <v>3646.1420119044114</v>
      </c>
      <c r="G206" s="13">
        <v>24012.392011904412</v>
      </c>
      <c r="H206" s="13"/>
      <c r="I206" s="13"/>
      <c r="J206" s="8"/>
      <c r="M206" s="1" t="s">
        <v>104</v>
      </c>
      <c r="N206" s="8">
        <v>42617.77</v>
      </c>
      <c r="O206" s="8">
        <v>39830.49</v>
      </c>
      <c r="P206" s="8">
        <v>2787.2799999999997</v>
      </c>
      <c r="Q206" s="8"/>
      <c r="R206" s="1" t="s">
        <v>113</v>
      </c>
      <c r="S206" s="8">
        <v>1682.51</v>
      </c>
      <c r="T206" s="8">
        <v>2844.91</v>
      </c>
      <c r="U206" s="8">
        <v>733.69</v>
      </c>
      <c r="V206" s="13">
        <v>350.92624443476939</v>
      </c>
      <c r="W206" s="13">
        <v>1185.6858776048641</v>
      </c>
      <c r="X206" s="13">
        <v>1313.2645209608102</v>
      </c>
      <c r="Y206" s="8"/>
      <c r="Z206" s="8"/>
      <c r="AA206" s="1" t="s">
        <v>113</v>
      </c>
      <c r="AB206" s="8">
        <v>8110.986643000444</v>
      </c>
      <c r="AC206" s="8">
        <v>5261.1100000000006</v>
      </c>
      <c r="AD206" s="8">
        <v>2849.8766430004434</v>
      </c>
      <c r="AE206" s="8"/>
    </row>
    <row r="207" spans="1:31" x14ac:dyDescent="0.4">
      <c r="M207" s="1" t="s">
        <v>105</v>
      </c>
      <c r="N207" s="8">
        <v>21556.98</v>
      </c>
      <c r="O207" s="8">
        <v>18641.77</v>
      </c>
      <c r="P207" s="8">
        <v>2915.21</v>
      </c>
      <c r="Q207" s="8"/>
    </row>
    <row r="208" spans="1:31" x14ac:dyDescent="0.4">
      <c r="M208" s="1" t="s">
        <v>106</v>
      </c>
      <c r="N208" s="8">
        <v>21834.06</v>
      </c>
      <c r="O208" s="8">
        <v>19060.400000000001</v>
      </c>
      <c r="P208" s="8">
        <v>2773.66</v>
      </c>
      <c r="Q208" s="8"/>
    </row>
    <row r="209" spans="13:17" x14ac:dyDescent="0.4">
      <c r="M209" s="1" t="s">
        <v>107</v>
      </c>
      <c r="N209" s="8">
        <v>19381.480000000003</v>
      </c>
      <c r="O209" s="8">
        <v>16545.990000000002</v>
      </c>
      <c r="P209" s="8">
        <v>2835.49</v>
      </c>
      <c r="Q209" s="8"/>
    </row>
    <row r="210" spans="13:17" x14ac:dyDescent="0.4">
      <c r="M210" s="1" t="s">
        <v>108</v>
      </c>
      <c r="N210" s="8">
        <v>15073.24</v>
      </c>
      <c r="O210" s="8">
        <v>12260.21</v>
      </c>
      <c r="P210" s="8">
        <v>2813.03</v>
      </c>
      <c r="Q210" s="8"/>
    </row>
    <row r="211" spans="13:17" x14ac:dyDescent="0.4">
      <c r="M211" s="1" t="s">
        <v>109</v>
      </c>
      <c r="N211" s="8">
        <v>13101.21</v>
      </c>
      <c r="O211" s="8">
        <v>10633.39</v>
      </c>
      <c r="P211" s="8">
        <v>2467.8199999999997</v>
      </c>
      <c r="Q211" s="8"/>
    </row>
    <row r="212" spans="13:17" x14ac:dyDescent="0.4">
      <c r="M212" s="1" t="s">
        <v>110</v>
      </c>
      <c r="N212" s="8">
        <v>11887.54</v>
      </c>
      <c r="O212" s="8">
        <v>9602.82</v>
      </c>
      <c r="P212" s="8">
        <v>2284.7200000000003</v>
      </c>
      <c r="Q212" s="8"/>
    </row>
    <row r="213" spans="13:17" x14ac:dyDescent="0.4">
      <c r="M213" s="1" t="s">
        <v>111</v>
      </c>
      <c r="N213" s="8">
        <v>11862.73</v>
      </c>
      <c r="O213" s="8">
        <v>9627.9599999999991</v>
      </c>
      <c r="P213" s="8">
        <v>2234.77</v>
      </c>
      <c r="Q213" s="8"/>
    </row>
    <row r="214" spans="13:17" x14ac:dyDescent="0.4">
      <c r="M214" s="1" t="s">
        <v>112</v>
      </c>
      <c r="N214" s="8">
        <v>11467.3</v>
      </c>
      <c r="O214" s="8">
        <v>9357.58</v>
      </c>
      <c r="P214" s="8">
        <v>2109.7200000000003</v>
      </c>
      <c r="Q214" s="8"/>
    </row>
    <row r="215" spans="13:17" x14ac:dyDescent="0.4">
      <c r="M215" s="1" t="s">
        <v>113</v>
      </c>
      <c r="N215" s="8">
        <v>11612.43</v>
      </c>
      <c r="O215" s="8">
        <v>9601.65</v>
      </c>
      <c r="P215" s="8">
        <v>2010.78</v>
      </c>
      <c r="Q215" s="8"/>
    </row>
  </sheetData>
  <mergeCells count="3">
    <mergeCell ref="B1:E1"/>
    <mergeCell ref="F1:H1"/>
    <mergeCell ref="I1:K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SeoJin Kang</cp:lastModifiedBy>
  <dcterms:created xsi:type="dcterms:W3CDTF">2026-07-18T08:52:08Z</dcterms:created>
  <dcterms:modified xsi:type="dcterms:W3CDTF">2026-07-31T11:32:27Z</dcterms:modified>
</cp:coreProperties>
</file>